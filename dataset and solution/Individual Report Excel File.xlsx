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esktop\DEVONNNN\"/>
    </mc:Choice>
  </mc:AlternateContent>
  <xr:revisionPtr revIDLastSave="0" documentId="13_ncr:10000001_{AD04927A-685B-414C-928F-66FE4D1D2766}" xr6:coauthVersionLast="47" xr6:coauthVersionMax="47" xr10:uidLastSave="{00000000-0000-0000-0000-000000000000}"/>
  <bookViews>
    <workbookView xWindow="-108" yWindow="-108" windowWidth="23256" windowHeight="12456" firstSheet="12" activeTab="15" xr2:uid="{2635395F-4295-4B5B-B72B-A3F4AD361D20}"/>
  </bookViews>
  <sheets>
    <sheet name="Data" sheetId="1" r:id="rId1"/>
    <sheet name="2.1 CMA" sheetId="2" r:id="rId2"/>
    <sheet name="2.2 Removing Trend" sheetId="3" r:id="rId3"/>
    <sheet name="2.3 Identify Seasonality" sheetId="4" r:id="rId4"/>
    <sheet name="2.4 Estimated Seasonal Pattern" sheetId="5" r:id="rId5"/>
    <sheet name="2.5 Noise" sheetId="6" r:id="rId6"/>
    <sheet name="3.1 Seasonal Naive" sheetId="7" r:id="rId7"/>
    <sheet name="3.2 Seasonal Average" sheetId="8" r:id="rId8"/>
    <sheet name="3.3 Seasonal Exponential" sheetId="9" r:id="rId9"/>
    <sheet name="4.1 Inventory Simulation" sheetId="10" r:id="rId10"/>
    <sheet name="4.2 Random Numbers" sheetId="13" r:id="rId11"/>
    <sheet name="5.1 Linear Programming" sheetId="12" r:id="rId12"/>
    <sheet name="5.2 Answer Report " sheetId="18" r:id="rId13"/>
    <sheet name="6.1 Poission Distribution" sheetId="15" r:id="rId14"/>
    <sheet name="6.2 Simulation Solution" sheetId="16" r:id="rId15"/>
    <sheet name="6.3 Random Numbers" sheetId="17" r:id="rId16"/>
  </sheets>
  <definedNames>
    <definedName name="solver_adj" localSheetId="11" hidden="1">'5.1 Linear Programming'!$C$19:$G$23</definedName>
    <definedName name="solver_cvg" localSheetId="11" hidden="1">0.0001</definedName>
    <definedName name="solver_drv" localSheetId="11" hidden="1">2</definedName>
    <definedName name="solver_eng" localSheetId="11" hidden="1">2</definedName>
    <definedName name="solver_est" localSheetId="11" hidden="1">1</definedName>
    <definedName name="solver_itr" localSheetId="11" hidden="1">2147483647</definedName>
    <definedName name="solver_lhs1" localSheetId="11" hidden="1">'5.1 Linear Programming'!$C$19:$G$23</definedName>
    <definedName name="solver_lhs2" localSheetId="11" hidden="1">'5.1 Linear Programming'!$C$25</definedName>
    <definedName name="solver_lhs3" localSheetId="11" hidden="1">'5.1 Linear Programming'!$D$25</definedName>
    <definedName name="solver_lhs4" localSheetId="11" hidden="1">'5.1 Linear Programming'!$E$25</definedName>
    <definedName name="solver_lhs5" localSheetId="11" hidden="1">'5.1 Linear Programming'!$F$25</definedName>
    <definedName name="solver_lhs6" localSheetId="11" hidden="1">'5.1 Linear Programming'!$G$25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6</definedName>
    <definedName name="solver_nwt" localSheetId="11" hidden="1">1</definedName>
    <definedName name="solver_opt" localSheetId="11" hidden="1">'5.1 Linear Programming'!$H$36</definedName>
    <definedName name="solver_pre" localSheetId="11" hidden="1">0.000001</definedName>
    <definedName name="solver_rbv" localSheetId="11" hidden="1">2</definedName>
    <definedName name="solver_rel1" localSheetId="11" hidden="1">5</definedName>
    <definedName name="solver_rel2" localSheetId="11" hidden="1">2</definedName>
    <definedName name="solver_rel3" localSheetId="11" hidden="1">2</definedName>
    <definedName name="solver_rel4" localSheetId="11" hidden="1">2</definedName>
    <definedName name="solver_rel5" localSheetId="11" hidden="1">2</definedName>
    <definedName name="solver_rel6" localSheetId="11" hidden="1">2</definedName>
    <definedName name="solver_rhs1" localSheetId="11" hidden="1">"binary"</definedName>
    <definedName name="solver_rhs2" localSheetId="11" hidden="1">1</definedName>
    <definedName name="solver_rhs3" localSheetId="11" hidden="1">1</definedName>
    <definedName name="solver_rhs4" localSheetId="11" hidden="1">1</definedName>
    <definedName name="solver_rhs5" localSheetId="11" hidden="1">1</definedName>
    <definedName name="solver_rhs6" localSheetId="11" hidden="1">1</definedName>
    <definedName name="solver_rlx" localSheetId="11" hidden="1">2</definedName>
    <definedName name="solver_rsd" localSheetId="11" hidden="1">0</definedName>
    <definedName name="solver_scl" localSheetId="11" hidden="1">2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2</definedName>
    <definedName name="solver_val" localSheetId="11" hidden="1">0</definedName>
    <definedName name="solver_ver" localSheetId="11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6" l="1"/>
  <c r="L15" i="16"/>
  <c r="E19" i="16"/>
  <c r="B13" i="15"/>
  <c r="C11" i="15"/>
  <c r="L23" i="10"/>
  <c r="I21" i="10"/>
  <c r="E7" i="10"/>
  <c r="D23" i="10"/>
  <c r="D30" i="12" l="1"/>
  <c r="C29" i="12"/>
  <c r="F10" i="8" l="1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L14" i="16"/>
  <c r="H14" i="16"/>
  <c r="G14" i="16"/>
  <c r="E14" i="16"/>
  <c r="C14" i="16"/>
  <c r="D14" i="16" s="1"/>
  <c r="C6" i="16"/>
  <c r="C3" i="16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C14" i="15"/>
  <c r="B14" i="15"/>
  <c r="C13" i="15"/>
  <c r="C12" i="15"/>
  <c r="B12" i="15"/>
  <c r="B11" i="15"/>
  <c r="C10" i="15"/>
  <c r="B10" i="15"/>
  <c r="B9" i="15"/>
  <c r="C3" i="15"/>
  <c r="G33" i="12"/>
  <c r="F33" i="12"/>
  <c r="E33" i="12"/>
  <c r="D33" i="12"/>
  <c r="C33" i="12"/>
  <c r="G32" i="12"/>
  <c r="F32" i="12"/>
  <c r="E32" i="12"/>
  <c r="D32" i="12"/>
  <c r="C32" i="12"/>
  <c r="G31" i="12"/>
  <c r="F31" i="12"/>
  <c r="E31" i="12"/>
  <c r="D31" i="12"/>
  <c r="C31" i="12"/>
  <c r="G30" i="12"/>
  <c r="F30" i="12"/>
  <c r="E30" i="12"/>
  <c r="C30" i="12"/>
  <c r="G29" i="12"/>
  <c r="F29" i="12"/>
  <c r="E29" i="12"/>
  <c r="D29" i="12"/>
  <c r="G25" i="12"/>
  <c r="F25" i="12"/>
  <c r="E25" i="12"/>
  <c r="D25" i="12"/>
  <c r="C25" i="12"/>
  <c r="G39" i="10"/>
  <c r="D39" i="10"/>
  <c r="C39" i="10"/>
  <c r="R38" i="10"/>
  <c r="Q38" i="10"/>
  <c r="P38" i="10"/>
  <c r="O38" i="10"/>
  <c r="R37" i="10"/>
  <c r="Q37" i="10"/>
  <c r="P37" i="10"/>
  <c r="O37" i="10"/>
  <c r="F37" i="10"/>
  <c r="R36" i="10"/>
  <c r="Q36" i="10"/>
  <c r="P36" i="10"/>
  <c r="O36" i="10"/>
  <c r="F36" i="10"/>
  <c r="G35" i="10"/>
  <c r="F35" i="10"/>
  <c r="E35" i="10"/>
  <c r="E35" i="10" a="1"/>
  <c r="D35" i="10"/>
  <c r="C35" i="10"/>
  <c r="R34" i="10"/>
  <c r="Q34" i="10"/>
  <c r="P34" i="10"/>
  <c r="O34" i="10"/>
  <c r="G33" i="10"/>
  <c r="F33" i="10"/>
  <c r="E33" i="10"/>
  <c r="D33" i="10"/>
  <c r="C33" i="10"/>
  <c r="R32" i="10"/>
  <c r="Q32" i="10"/>
  <c r="P32" i="10"/>
  <c r="O32" i="10"/>
  <c r="R31" i="10"/>
  <c r="Q31" i="10"/>
  <c r="P31" i="10"/>
  <c r="O31" i="10"/>
  <c r="F31" i="10"/>
  <c r="G30" i="10"/>
  <c r="F30" i="10"/>
  <c r="E30" i="10"/>
  <c r="E30" i="10" a="1"/>
  <c r="D30" i="10"/>
  <c r="C30" i="10"/>
  <c r="R29" i="10"/>
  <c r="Q29" i="10"/>
  <c r="P29" i="10"/>
  <c r="O29" i="10"/>
  <c r="R28" i="10"/>
  <c r="Q28" i="10"/>
  <c r="P28" i="10"/>
  <c r="O28" i="10"/>
  <c r="M27" i="10"/>
  <c r="I27" i="10" s="1"/>
  <c r="J27" i="10"/>
  <c r="L27" i="10" s="1"/>
  <c r="G27" i="10"/>
  <c r="F27" i="10"/>
  <c r="E27" i="10"/>
  <c r="D27" i="10"/>
  <c r="C27" i="10"/>
  <c r="R26" i="10"/>
  <c r="Q26" i="10"/>
  <c r="P26" i="10"/>
  <c r="O26" i="10"/>
  <c r="R25" i="10"/>
  <c r="Q25" i="10"/>
  <c r="P25" i="10"/>
  <c r="O25" i="10"/>
  <c r="F25" i="10"/>
  <c r="R24" i="10"/>
  <c r="Q24" i="10"/>
  <c r="P24" i="10"/>
  <c r="O24" i="10"/>
  <c r="F24" i="10"/>
  <c r="Q23" i="10"/>
  <c r="P23" i="10"/>
  <c r="O23" i="10"/>
  <c r="R23" i="10" s="1"/>
  <c r="M23" i="10"/>
  <c r="J23" i="10"/>
  <c r="I23" i="10"/>
  <c r="G23" i="10"/>
  <c r="F23" i="10"/>
  <c r="E23" i="10"/>
  <c r="E23" i="10" a="1"/>
  <c r="C23" i="10"/>
  <c r="R22" i="10"/>
  <c r="Q22" i="10"/>
  <c r="P22" i="10"/>
  <c r="O22" i="10"/>
  <c r="R21" i="10"/>
  <c r="Q21" i="10"/>
  <c r="P21" i="10"/>
  <c r="O21" i="10"/>
  <c r="L21" i="10"/>
  <c r="J21" i="10"/>
  <c r="D21" i="10"/>
  <c r="C21" i="10"/>
  <c r="E17" i="10"/>
  <c r="D17" i="10"/>
  <c r="E16" i="10"/>
  <c r="D16" i="10"/>
  <c r="E15" i="10"/>
  <c r="D15" i="10"/>
  <c r="D14" i="10"/>
  <c r="E10" i="10"/>
  <c r="D10" i="10"/>
  <c r="E9" i="10"/>
  <c r="D9" i="10"/>
  <c r="E8" i="10"/>
  <c r="D8" i="10"/>
  <c r="D7" i="10"/>
  <c r="D6" i="10"/>
  <c r="K58" i="9"/>
  <c r="J58" i="9"/>
  <c r="I58" i="9"/>
  <c r="H58" i="9"/>
  <c r="F58" i="9"/>
  <c r="K57" i="9"/>
  <c r="J57" i="9"/>
  <c r="I57" i="9"/>
  <c r="H57" i="9"/>
  <c r="F57" i="9"/>
  <c r="K56" i="9"/>
  <c r="J56" i="9"/>
  <c r="I56" i="9"/>
  <c r="H56" i="9"/>
  <c r="F56" i="9"/>
  <c r="E56" i="9"/>
  <c r="E56" i="9" a="1"/>
  <c r="K55" i="9"/>
  <c r="J55" i="9"/>
  <c r="I55" i="9"/>
  <c r="H55" i="9"/>
  <c r="F55" i="9"/>
  <c r="K54" i="9"/>
  <c r="J54" i="9"/>
  <c r="I54" i="9"/>
  <c r="H54" i="9"/>
  <c r="F54" i="9"/>
  <c r="K53" i="9"/>
  <c r="J53" i="9"/>
  <c r="I53" i="9"/>
  <c r="H53" i="9"/>
  <c r="F53" i="9"/>
  <c r="K52" i="9"/>
  <c r="J52" i="9"/>
  <c r="I52" i="9"/>
  <c r="H52" i="9"/>
  <c r="F52" i="9"/>
  <c r="K51" i="9"/>
  <c r="J51" i="9"/>
  <c r="I51" i="9"/>
  <c r="H51" i="9"/>
  <c r="G51" i="9"/>
  <c r="F51" i="9"/>
  <c r="K50" i="9"/>
  <c r="J50" i="9"/>
  <c r="I50" i="9"/>
  <c r="H50" i="9"/>
  <c r="G50" i="9"/>
  <c r="F50" i="9"/>
  <c r="K49" i="9"/>
  <c r="J49" i="9"/>
  <c r="I49" i="9"/>
  <c r="H49" i="9"/>
  <c r="G49" i="9"/>
  <c r="F49" i="9"/>
  <c r="K48" i="9"/>
  <c r="J48" i="9"/>
  <c r="I48" i="9"/>
  <c r="H48" i="9"/>
  <c r="G48" i="9"/>
  <c r="F48" i="9"/>
  <c r="K47" i="9"/>
  <c r="J47" i="9"/>
  <c r="I47" i="9"/>
  <c r="H47" i="9"/>
  <c r="G47" i="9"/>
  <c r="F47" i="9"/>
  <c r="K46" i="9"/>
  <c r="J46" i="9"/>
  <c r="I46" i="9"/>
  <c r="H46" i="9"/>
  <c r="G46" i="9"/>
  <c r="F46" i="9"/>
  <c r="K45" i="9"/>
  <c r="J45" i="9"/>
  <c r="I45" i="9"/>
  <c r="H45" i="9"/>
  <c r="G45" i="9"/>
  <c r="F45" i="9"/>
  <c r="K44" i="9"/>
  <c r="J44" i="9"/>
  <c r="I44" i="9"/>
  <c r="H44" i="9"/>
  <c r="G44" i="9"/>
  <c r="F44" i="9"/>
  <c r="K43" i="9"/>
  <c r="J43" i="9"/>
  <c r="I43" i="9"/>
  <c r="H43" i="9"/>
  <c r="G43" i="9"/>
  <c r="F43" i="9"/>
  <c r="K42" i="9"/>
  <c r="J42" i="9"/>
  <c r="I42" i="9"/>
  <c r="H42" i="9"/>
  <c r="G42" i="9"/>
  <c r="F42" i="9"/>
  <c r="K41" i="9"/>
  <c r="J41" i="9"/>
  <c r="I41" i="9"/>
  <c r="H41" i="9"/>
  <c r="G41" i="9"/>
  <c r="F41" i="9"/>
  <c r="K40" i="9"/>
  <c r="J40" i="9"/>
  <c r="I40" i="9"/>
  <c r="H40" i="9"/>
  <c r="G40" i="9"/>
  <c r="F40" i="9"/>
  <c r="K39" i="9"/>
  <c r="J39" i="9"/>
  <c r="I39" i="9"/>
  <c r="H39" i="9"/>
  <c r="G39" i="9"/>
  <c r="F39" i="9"/>
  <c r="K38" i="9"/>
  <c r="J38" i="9"/>
  <c r="I38" i="9"/>
  <c r="H38" i="9"/>
  <c r="G38" i="9"/>
  <c r="F38" i="9"/>
  <c r="K37" i="9"/>
  <c r="J37" i="9"/>
  <c r="I37" i="9"/>
  <c r="H37" i="9"/>
  <c r="G37" i="9"/>
  <c r="F37" i="9"/>
  <c r="K36" i="9"/>
  <c r="J36" i="9"/>
  <c r="I36" i="9"/>
  <c r="H36" i="9"/>
  <c r="G36" i="9"/>
  <c r="F36" i="9"/>
  <c r="K35" i="9"/>
  <c r="J35" i="9"/>
  <c r="I35" i="9"/>
  <c r="H35" i="9"/>
  <c r="G35" i="9"/>
  <c r="F35" i="9"/>
  <c r="K34" i="9"/>
  <c r="J34" i="9"/>
  <c r="I34" i="9"/>
  <c r="H34" i="9"/>
  <c r="G34" i="9"/>
  <c r="F34" i="9"/>
  <c r="K33" i="9"/>
  <c r="J33" i="9"/>
  <c r="I33" i="9"/>
  <c r="H33" i="9"/>
  <c r="G33" i="9"/>
  <c r="F33" i="9"/>
  <c r="K32" i="9"/>
  <c r="J32" i="9"/>
  <c r="I32" i="9"/>
  <c r="H32" i="9"/>
  <c r="G32" i="9"/>
  <c r="F32" i="9"/>
  <c r="K31" i="9"/>
  <c r="J31" i="9"/>
  <c r="I31" i="9"/>
  <c r="H31" i="9"/>
  <c r="G31" i="9"/>
  <c r="F31" i="9"/>
  <c r="K30" i="9"/>
  <c r="J30" i="9"/>
  <c r="I30" i="9"/>
  <c r="H30" i="9"/>
  <c r="G30" i="9"/>
  <c r="F30" i="9"/>
  <c r="K29" i="9"/>
  <c r="J29" i="9"/>
  <c r="I29" i="9"/>
  <c r="H29" i="9"/>
  <c r="G29" i="9"/>
  <c r="F29" i="9"/>
  <c r="K28" i="9"/>
  <c r="J28" i="9"/>
  <c r="I28" i="9"/>
  <c r="H28" i="9"/>
  <c r="G28" i="9"/>
  <c r="F28" i="9"/>
  <c r="K27" i="9"/>
  <c r="J27" i="9"/>
  <c r="I27" i="9"/>
  <c r="H27" i="9"/>
  <c r="G27" i="9"/>
  <c r="F27" i="9"/>
  <c r="K26" i="9"/>
  <c r="J26" i="9"/>
  <c r="I26" i="9"/>
  <c r="H26" i="9"/>
  <c r="G26" i="9"/>
  <c r="F26" i="9"/>
  <c r="K25" i="9"/>
  <c r="J25" i="9"/>
  <c r="I25" i="9"/>
  <c r="H25" i="9"/>
  <c r="G25" i="9"/>
  <c r="F25" i="9"/>
  <c r="K24" i="9"/>
  <c r="J24" i="9"/>
  <c r="I24" i="9"/>
  <c r="H24" i="9"/>
  <c r="G24" i="9"/>
  <c r="F24" i="9"/>
  <c r="P23" i="9"/>
  <c r="K23" i="9"/>
  <c r="J23" i="9"/>
  <c r="I23" i="9"/>
  <c r="H23" i="9"/>
  <c r="G23" i="9"/>
  <c r="F23" i="9"/>
  <c r="P22" i="9"/>
  <c r="K22" i="9"/>
  <c r="J22" i="9"/>
  <c r="I22" i="9"/>
  <c r="H22" i="9"/>
  <c r="G22" i="9"/>
  <c r="F22" i="9"/>
  <c r="P21" i="9"/>
  <c r="K21" i="9"/>
  <c r="J21" i="9"/>
  <c r="I21" i="9"/>
  <c r="H21" i="9"/>
  <c r="G21" i="9"/>
  <c r="F21" i="9"/>
  <c r="P20" i="9"/>
  <c r="K20" i="9"/>
  <c r="J20" i="9"/>
  <c r="I20" i="9"/>
  <c r="H20" i="9"/>
  <c r="G20" i="9"/>
  <c r="F20" i="9"/>
  <c r="K19" i="9"/>
  <c r="J19" i="9"/>
  <c r="I19" i="9"/>
  <c r="H19" i="9"/>
  <c r="G19" i="9"/>
  <c r="F19" i="9"/>
  <c r="K18" i="9"/>
  <c r="J18" i="9"/>
  <c r="I18" i="9"/>
  <c r="H18" i="9"/>
  <c r="G18" i="9"/>
  <c r="F18" i="9"/>
  <c r="K17" i="9"/>
  <c r="J17" i="9"/>
  <c r="I17" i="9"/>
  <c r="H17" i="9"/>
  <c r="G17" i="9"/>
  <c r="F17" i="9"/>
  <c r="K16" i="9"/>
  <c r="J16" i="9"/>
  <c r="I16" i="9"/>
  <c r="H16" i="9"/>
  <c r="G16" i="9"/>
  <c r="F16" i="9"/>
  <c r="P15" i="9"/>
  <c r="K15" i="9"/>
  <c r="J15" i="9"/>
  <c r="I15" i="9"/>
  <c r="H15" i="9"/>
  <c r="G15" i="9"/>
  <c r="F15" i="9"/>
  <c r="P14" i="9"/>
  <c r="K14" i="9"/>
  <c r="J14" i="9"/>
  <c r="I14" i="9"/>
  <c r="H14" i="9"/>
  <c r="G14" i="9"/>
  <c r="F14" i="9"/>
  <c r="P13" i="9"/>
  <c r="K13" i="9"/>
  <c r="J13" i="9"/>
  <c r="I13" i="9"/>
  <c r="H13" i="9"/>
  <c r="G13" i="9"/>
  <c r="F13" i="9"/>
  <c r="P12" i="9"/>
  <c r="K12" i="9"/>
  <c r="J12" i="9"/>
  <c r="I12" i="9"/>
  <c r="H12" i="9"/>
  <c r="G12" i="9"/>
  <c r="F12" i="9"/>
  <c r="K11" i="9"/>
  <c r="J11" i="9"/>
  <c r="I11" i="9"/>
  <c r="H11" i="9"/>
  <c r="G11" i="9"/>
  <c r="F11" i="9"/>
  <c r="K10" i="9"/>
  <c r="J10" i="9"/>
  <c r="I10" i="9"/>
  <c r="H10" i="9"/>
  <c r="G10" i="9"/>
  <c r="F10" i="9"/>
  <c r="G9" i="9"/>
  <c r="F9" i="9"/>
  <c r="G8" i="9"/>
  <c r="F8" i="9"/>
  <c r="G7" i="9"/>
  <c r="F7" i="9"/>
  <c r="G6" i="9"/>
  <c r="F6" i="9"/>
  <c r="D6" i="9"/>
  <c r="D6" i="9" a="1"/>
  <c r="G5" i="9"/>
  <c r="F5" i="9"/>
  <c r="G4" i="9"/>
  <c r="F4" i="9"/>
  <c r="G3" i="9"/>
  <c r="F3" i="9"/>
  <c r="I58" i="8"/>
  <c r="H58" i="8"/>
  <c r="G58" i="8"/>
  <c r="F58" i="8"/>
  <c r="I57" i="8"/>
  <c r="H57" i="8"/>
  <c r="G57" i="8"/>
  <c r="F57" i="8"/>
  <c r="I56" i="8"/>
  <c r="H56" i="8"/>
  <c r="G56" i="8"/>
  <c r="F56" i="8"/>
  <c r="E56" i="8"/>
  <c r="E56" i="8" a="1"/>
  <c r="I55" i="8"/>
  <c r="H55" i="8"/>
  <c r="G55" i="8"/>
  <c r="F55" i="8"/>
  <c r="I54" i="8"/>
  <c r="H54" i="8"/>
  <c r="G54" i="8"/>
  <c r="F54" i="8"/>
  <c r="I53" i="8"/>
  <c r="H53" i="8"/>
  <c r="G53" i="8"/>
  <c r="F53" i="8"/>
  <c r="I52" i="8"/>
  <c r="H52" i="8"/>
  <c r="G52" i="8"/>
  <c r="F52" i="8"/>
  <c r="I51" i="8"/>
  <c r="H51" i="8"/>
  <c r="G51" i="8"/>
  <c r="F51" i="8"/>
  <c r="I50" i="8"/>
  <c r="H50" i="8"/>
  <c r="G50" i="8"/>
  <c r="F50" i="8"/>
  <c r="I49" i="8"/>
  <c r="H49" i="8"/>
  <c r="G49" i="8"/>
  <c r="F49" i="8"/>
  <c r="I48" i="8"/>
  <c r="H48" i="8"/>
  <c r="G48" i="8"/>
  <c r="F48" i="8"/>
  <c r="I47" i="8"/>
  <c r="H47" i="8"/>
  <c r="G47" i="8"/>
  <c r="F47" i="8"/>
  <c r="I46" i="8"/>
  <c r="H46" i="8"/>
  <c r="G46" i="8"/>
  <c r="F46" i="8"/>
  <c r="I45" i="8"/>
  <c r="H45" i="8"/>
  <c r="G45" i="8"/>
  <c r="F45" i="8"/>
  <c r="I44" i="8"/>
  <c r="H44" i="8"/>
  <c r="G44" i="8"/>
  <c r="F44" i="8"/>
  <c r="I43" i="8"/>
  <c r="H43" i="8"/>
  <c r="G43" i="8"/>
  <c r="F43" i="8"/>
  <c r="I42" i="8"/>
  <c r="H42" i="8"/>
  <c r="G42" i="8"/>
  <c r="F42" i="8"/>
  <c r="I41" i="8"/>
  <c r="H41" i="8"/>
  <c r="G41" i="8"/>
  <c r="F41" i="8"/>
  <c r="I40" i="8"/>
  <c r="H40" i="8"/>
  <c r="G40" i="8"/>
  <c r="F40" i="8"/>
  <c r="I39" i="8"/>
  <c r="H39" i="8"/>
  <c r="G39" i="8"/>
  <c r="F39" i="8"/>
  <c r="I38" i="8"/>
  <c r="H38" i="8"/>
  <c r="G38" i="8"/>
  <c r="F38" i="8"/>
  <c r="I37" i="8"/>
  <c r="H37" i="8"/>
  <c r="G37" i="8"/>
  <c r="F37" i="8"/>
  <c r="I36" i="8"/>
  <c r="H36" i="8"/>
  <c r="G36" i="8"/>
  <c r="F36" i="8"/>
  <c r="I35" i="8"/>
  <c r="H35" i="8"/>
  <c r="G35" i="8"/>
  <c r="F35" i="8"/>
  <c r="I34" i="8"/>
  <c r="H34" i="8"/>
  <c r="G34" i="8"/>
  <c r="F34" i="8"/>
  <c r="I33" i="8"/>
  <c r="H33" i="8"/>
  <c r="G33" i="8"/>
  <c r="F33" i="8"/>
  <c r="I32" i="8"/>
  <c r="H32" i="8"/>
  <c r="G32" i="8"/>
  <c r="F32" i="8"/>
  <c r="I31" i="8"/>
  <c r="H31" i="8"/>
  <c r="G31" i="8"/>
  <c r="F31" i="8"/>
  <c r="I30" i="8"/>
  <c r="H30" i="8"/>
  <c r="G30" i="8"/>
  <c r="F30" i="8"/>
  <c r="I29" i="8"/>
  <c r="H29" i="8"/>
  <c r="G29" i="8"/>
  <c r="F29" i="8"/>
  <c r="I28" i="8"/>
  <c r="H28" i="8"/>
  <c r="G28" i="8"/>
  <c r="F28" i="8"/>
  <c r="I27" i="8"/>
  <c r="H27" i="8"/>
  <c r="G27" i="8"/>
  <c r="F27" i="8"/>
  <c r="I26" i="8"/>
  <c r="H26" i="8"/>
  <c r="G26" i="8"/>
  <c r="F26" i="8"/>
  <c r="I25" i="8"/>
  <c r="H25" i="8"/>
  <c r="G25" i="8"/>
  <c r="F25" i="8"/>
  <c r="I24" i="8"/>
  <c r="H24" i="8"/>
  <c r="G24" i="8"/>
  <c r="F24" i="8"/>
  <c r="I23" i="8"/>
  <c r="H23" i="8"/>
  <c r="G23" i="8"/>
  <c r="F23" i="8"/>
  <c r="M22" i="8"/>
  <c r="I22" i="8"/>
  <c r="H22" i="8"/>
  <c r="G22" i="8"/>
  <c r="F22" i="8"/>
  <c r="M21" i="8"/>
  <c r="I21" i="8"/>
  <c r="H21" i="8"/>
  <c r="G21" i="8"/>
  <c r="F21" i="8"/>
  <c r="M20" i="8"/>
  <c r="I20" i="8"/>
  <c r="H20" i="8"/>
  <c r="G20" i="8"/>
  <c r="F20" i="8"/>
  <c r="M19" i="8"/>
  <c r="I19" i="8"/>
  <c r="H19" i="8"/>
  <c r="G19" i="8"/>
  <c r="F19" i="8"/>
  <c r="I18" i="8"/>
  <c r="H18" i="8"/>
  <c r="G18" i="8"/>
  <c r="F18" i="8"/>
  <c r="I17" i="8"/>
  <c r="H17" i="8"/>
  <c r="G17" i="8"/>
  <c r="F17" i="8"/>
  <c r="I16" i="8"/>
  <c r="H16" i="8"/>
  <c r="G16" i="8"/>
  <c r="F16" i="8"/>
  <c r="I15" i="8"/>
  <c r="H15" i="8"/>
  <c r="G15" i="8"/>
  <c r="F15" i="8"/>
  <c r="M14" i="8"/>
  <c r="I14" i="8"/>
  <c r="H14" i="8"/>
  <c r="G14" i="8"/>
  <c r="F14" i="8"/>
  <c r="M13" i="8"/>
  <c r="I13" i="8"/>
  <c r="H13" i="8"/>
  <c r="G13" i="8"/>
  <c r="F13" i="8"/>
  <c r="M12" i="8"/>
  <c r="I12" i="8"/>
  <c r="H12" i="8"/>
  <c r="G12" i="8"/>
  <c r="F12" i="8"/>
  <c r="M11" i="8"/>
  <c r="I11" i="8"/>
  <c r="H11" i="8"/>
  <c r="G11" i="8"/>
  <c r="F11" i="8"/>
  <c r="I10" i="8"/>
  <c r="H10" i="8"/>
  <c r="G10" i="8"/>
  <c r="D6" i="8"/>
  <c r="D6" i="8" a="1"/>
  <c r="I58" i="7"/>
  <c r="H58" i="7"/>
  <c r="G58" i="7"/>
  <c r="I57" i="7"/>
  <c r="H57" i="7"/>
  <c r="G57" i="7"/>
  <c r="I56" i="7"/>
  <c r="H56" i="7"/>
  <c r="G56" i="7"/>
  <c r="E56" i="7"/>
  <c r="E56" i="7" a="1"/>
  <c r="I55" i="7"/>
  <c r="H55" i="7"/>
  <c r="G55" i="7"/>
  <c r="I54" i="7"/>
  <c r="H54" i="7"/>
  <c r="G54" i="7"/>
  <c r="I53" i="7"/>
  <c r="H53" i="7"/>
  <c r="G53" i="7"/>
  <c r="I52" i="7"/>
  <c r="H52" i="7"/>
  <c r="G52" i="7"/>
  <c r="I51" i="7"/>
  <c r="H51" i="7"/>
  <c r="G51" i="7"/>
  <c r="I50" i="7"/>
  <c r="H50" i="7"/>
  <c r="G50" i="7"/>
  <c r="I49" i="7"/>
  <c r="H49" i="7"/>
  <c r="G49" i="7"/>
  <c r="I48" i="7"/>
  <c r="H48" i="7"/>
  <c r="G48" i="7"/>
  <c r="I47" i="7"/>
  <c r="H47" i="7"/>
  <c r="G47" i="7"/>
  <c r="I46" i="7"/>
  <c r="H46" i="7"/>
  <c r="G46" i="7"/>
  <c r="I45" i="7"/>
  <c r="H45" i="7"/>
  <c r="G45" i="7"/>
  <c r="I44" i="7"/>
  <c r="H44" i="7"/>
  <c r="G44" i="7"/>
  <c r="I43" i="7"/>
  <c r="H43" i="7"/>
  <c r="G43" i="7"/>
  <c r="I42" i="7"/>
  <c r="H42" i="7"/>
  <c r="G42" i="7"/>
  <c r="I41" i="7"/>
  <c r="H41" i="7"/>
  <c r="G41" i="7"/>
  <c r="I40" i="7"/>
  <c r="H40" i="7"/>
  <c r="G40" i="7"/>
  <c r="I39" i="7"/>
  <c r="H39" i="7"/>
  <c r="G39" i="7"/>
  <c r="I38" i="7"/>
  <c r="H38" i="7"/>
  <c r="G38" i="7"/>
  <c r="I37" i="7"/>
  <c r="H37" i="7"/>
  <c r="G37" i="7"/>
  <c r="I36" i="7"/>
  <c r="H36" i="7"/>
  <c r="G36" i="7"/>
  <c r="I35" i="7"/>
  <c r="H35" i="7"/>
  <c r="G35" i="7"/>
  <c r="I34" i="7"/>
  <c r="H34" i="7"/>
  <c r="G34" i="7"/>
  <c r="I33" i="7"/>
  <c r="H33" i="7"/>
  <c r="G33" i="7"/>
  <c r="I32" i="7"/>
  <c r="H32" i="7"/>
  <c r="G32" i="7"/>
  <c r="I31" i="7"/>
  <c r="H31" i="7"/>
  <c r="G31" i="7"/>
  <c r="I30" i="7"/>
  <c r="H30" i="7"/>
  <c r="G30" i="7"/>
  <c r="I29" i="7"/>
  <c r="H29" i="7"/>
  <c r="G29" i="7"/>
  <c r="I28" i="7"/>
  <c r="H28" i="7"/>
  <c r="G28" i="7"/>
  <c r="I27" i="7"/>
  <c r="H27" i="7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I22" i="7"/>
  <c r="H22" i="7"/>
  <c r="G22" i="7"/>
  <c r="I21" i="7"/>
  <c r="H21" i="7"/>
  <c r="G21" i="7"/>
  <c r="I20" i="7"/>
  <c r="H20" i="7"/>
  <c r="G20" i="7"/>
  <c r="M19" i="7"/>
  <c r="I19" i="7"/>
  <c r="H19" i="7"/>
  <c r="G19" i="7"/>
  <c r="M18" i="7"/>
  <c r="I18" i="7"/>
  <c r="H18" i="7"/>
  <c r="G18" i="7"/>
  <c r="M17" i="7"/>
  <c r="I17" i="7"/>
  <c r="H17" i="7"/>
  <c r="G17" i="7"/>
  <c r="M16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M10" i="7"/>
  <c r="I10" i="7"/>
  <c r="H10" i="7"/>
  <c r="G10" i="7"/>
  <c r="M9" i="7"/>
  <c r="M8" i="7"/>
  <c r="M7" i="7"/>
  <c r="D6" i="7"/>
  <c r="D6" i="7" a="1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D56" i="3"/>
  <c r="E56" i="3" s="1"/>
  <c r="D55" i="3"/>
  <c r="E55" i="3" s="1"/>
  <c r="D54" i="3"/>
  <c r="E54" i="3" s="1"/>
  <c r="D53" i="3"/>
  <c r="E53" i="3" s="1"/>
  <c r="D52" i="3"/>
  <c r="E52" i="3" s="1"/>
  <c r="D51" i="3"/>
  <c r="E51" i="3" s="1"/>
  <c r="D50" i="3"/>
  <c r="E50" i="3" s="1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D43" i="3"/>
  <c r="E43" i="3" s="1"/>
  <c r="D42" i="3"/>
  <c r="E42" i="3" s="1"/>
  <c r="D41" i="3"/>
  <c r="E41" i="3" s="1"/>
  <c r="D40" i="3"/>
  <c r="E40" i="3" s="1"/>
  <c r="D39" i="3"/>
  <c r="E39" i="3" s="1"/>
  <c r="D38" i="3"/>
  <c r="E38" i="3" s="1"/>
  <c r="D37" i="3"/>
  <c r="E37" i="3" s="1"/>
  <c r="D36" i="3"/>
  <c r="E36" i="3" s="1"/>
  <c r="D35" i="3"/>
  <c r="E35" i="3" s="1"/>
  <c r="D34" i="3"/>
  <c r="E34" i="3" s="1"/>
  <c r="D33" i="3"/>
  <c r="E33" i="3" s="1"/>
  <c r="D32" i="3"/>
  <c r="E32" i="3" s="1"/>
  <c r="D31" i="3"/>
  <c r="E31" i="3" s="1"/>
  <c r="D30" i="3"/>
  <c r="E30" i="3" s="1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E13" i="3"/>
  <c r="D13" i="3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F58" i="2"/>
  <c r="E58" i="2"/>
  <c r="D58" i="2"/>
  <c r="F57" i="2"/>
  <c r="E57" i="2"/>
  <c r="D57" i="2"/>
  <c r="F56" i="2"/>
  <c r="E56" i="2"/>
  <c r="D56" i="2"/>
  <c r="F55" i="2"/>
  <c r="E55" i="2"/>
  <c r="D55" i="2"/>
  <c r="F54" i="2"/>
  <c r="E54" i="2"/>
  <c r="D54" i="2"/>
  <c r="F53" i="2"/>
  <c r="E53" i="2"/>
  <c r="D53" i="2"/>
  <c r="F52" i="2"/>
  <c r="E52" i="2"/>
  <c r="D52" i="2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/>
  <c r="F37" i="2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E9" i="2"/>
  <c r="D9" i="2"/>
  <c r="E8" i="2"/>
  <c r="D8" i="2"/>
  <c r="E7" i="2"/>
  <c r="D7" i="2"/>
  <c r="E6" i="2"/>
  <c r="D6" i="2"/>
  <c r="D5" i="2"/>
  <c r="D4" i="2"/>
  <c r="D6" i="4" l="1" a="1"/>
  <c r="Q11" i="4" s="1"/>
  <c r="I14" i="16"/>
  <c r="N14" i="16"/>
  <c r="D15" i="16"/>
  <c r="O27" i="10"/>
  <c r="M30" i="10"/>
  <c r="I30" i="10" s="1"/>
  <c r="J30" i="10" s="1"/>
  <c r="P27" i="10"/>
  <c r="Q27" i="10"/>
  <c r="H36" i="12"/>
  <c r="P12" i="4" l="1"/>
  <c r="D39" i="6"/>
  <c r="D36" i="6"/>
  <c r="D17" i="6"/>
  <c r="O8" i="4"/>
  <c r="D53" i="6"/>
  <c r="M11" i="4"/>
  <c r="D42" i="6"/>
  <c r="D25" i="6"/>
  <c r="R9" i="4"/>
  <c r="M8" i="4"/>
  <c r="D28" i="6"/>
  <c r="K12" i="4"/>
  <c r="D29" i="6"/>
  <c r="P9" i="4"/>
  <c r="D31" i="6"/>
  <c r="N9" i="4"/>
  <c r="D35" i="6"/>
  <c r="K11" i="4"/>
  <c r="D34" i="6"/>
  <c r="L11" i="4"/>
  <c r="M6" i="4"/>
  <c r="D41" i="6"/>
  <c r="O12" i="4"/>
  <c r="D6" i="4"/>
  <c r="D7" i="6" s="1"/>
  <c r="O6" i="4"/>
  <c r="Q7" i="4"/>
  <c r="D50" i="6"/>
  <c r="D9" i="6"/>
  <c r="N7" i="4"/>
  <c r="D22" i="6"/>
  <c r="L9" i="4"/>
  <c r="N6" i="4"/>
  <c r="D15" i="6"/>
  <c r="R8" i="4"/>
  <c r="D56" i="6"/>
  <c r="O10" i="4"/>
  <c r="M9" i="4"/>
  <c r="D33" i="6"/>
  <c r="L10" i="4"/>
  <c r="D45" i="6"/>
  <c r="P11" i="4"/>
  <c r="D11" i="6"/>
  <c r="L7" i="4"/>
  <c r="R7" i="4"/>
  <c r="Q10" i="4"/>
  <c r="D12" i="6"/>
  <c r="D48" i="6"/>
  <c r="D37" i="6"/>
  <c r="M7" i="4"/>
  <c r="P8" i="4"/>
  <c r="M12" i="4"/>
  <c r="D51" i="6"/>
  <c r="D40" i="6"/>
  <c r="Q8" i="4"/>
  <c r="Q12" i="4"/>
  <c r="D23" i="6"/>
  <c r="N11" i="4"/>
  <c r="P10" i="4"/>
  <c r="P6" i="4"/>
  <c r="D18" i="6"/>
  <c r="D54" i="6"/>
  <c r="D43" i="6"/>
  <c r="K10" i="4"/>
  <c r="L6" i="4"/>
  <c r="D32" i="6"/>
  <c r="D8" i="6"/>
  <c r="L12" i="4"/>
  <c r="L8" i="4"/>
  <c r="D21" i="6"/>
  <c r="D10" i="6"/>
  <c r="D46" i="6"/>
  <c r="O11" i="4"/>
  <c r="P7" i="4"/>
  <c r="D38" i="6"/>
  <c r="D14" i="6"/>
  <c r="Q9" i="4"/>
  <c r="O9" i="4"/>
  <c r="D24" i="6"/>
  <c r="D13" i="6"/>
  <c r="D49" i="6"/>
  <c r="O7" i="4"/>
  <c r="K9" i="4"/>
  <c r="D44" i="6"/>
  <c r="D20" i="6"/>
  <c r="R6" i="4"/>
  <c r="N12" i="4"/>
  <c r="D27" i="6"/>
  <c r="D16" i="6"/>
  <c r="D52" i="6"/>
  <c r="M10" i="4"/>
  <c r="N10" i="4"/>
  <c r="D47" i="6"/>
  <c r="D26" i="6"/>
  <c r="N8" i="4"/>
  <c r="Q6" i="4"/>
  <c r="D30" i="6"/>
  <c r="D19" i="6"/>
  <c r="D55" i="6"/>
  <c r="D16" i="16"/>
  <c r="J14" i="16"/>
  <c r="K14" i="16" s="1"/>
  <c r="E15" i="16" s="1"/>
  <c r="M14" i="16"/>
  <c r="Q30" i="10"/>
  <c r="P30" i="10"/>
  <c r="L30" i="10"/>
  <c r="R27" i="10"/>
  <c r="E5" i="5" l="1" a="1"/>
  <c r="D8" i="5" a="1"/>
  <c r="K5" i="5" a="1"/>
  <c r="K5" i="5" s="1"/>
  <c r="E5" i="5"/>
  <c r="O5" i="5" s="1"/>
  <c r="O7" i="5"/>
  <c r="O6" i="5"/>
  <c r="D8" i="5"/>
  <c r="O8" i="5" s="1"/>
  <c r="O11" i="5"/>
  <c r="O10" i="5"/>
  <c r="O9" i="5"/>
  <c r="I15" i="16"/>
  <c r="F15" i="16"/>
  <c r="D17" i="16"/>
  <c r="O30" i="10"/>
  <c r="R30" i="10" s="1"/>
  <c r="M33" i="10"/>
  <c r="I33" i="10" s="1"/>
  <c r="J33" i="10" s="1"/>
  <c r="E37" i="6" l="1"/>
  <c r="F37" i="6" s="1"/>
  <c r="G37" i="6" s="1"/>
  <c r="E51" i="6"/>
  <c r="F51" i="6" s="1"/>
  <c r="G51" i="6" s="1"/>
  <c r="E30" i="6"/>
  <c r="F30" i="6" s="1"/>
  <c r="G30" i="6" s="1"/>
  <c r="E9" i="6"/>
  <c r="F9" i="6" s="1"/>
  <c r="G9" i="6" s="1"/>
  <c r="R10" i="5"/>
  <c r="E44" i="6"/>
  <c r="F44" i="6" s="1"/>
  <c r="G44" i="6" s="1"/>
  <c r="E23" i="6"/>
  <c r="F23" i="6" s="1"/>
  <c r="G23" i="6" s="1"/>
  <c r="E55" i="6"/>
  <c r="F55" i="6" s="1"/>
  <c r="G55" i="6" s="1"/>
  <c r="E34" i="6"/>
  <c r="F34" i="6" s="1"/>
  <c r="G34" i="6" s="1"/>
  <c r="E48" i="6"/>
  <c r="F48" i="6" s="1"/>
  <c r="G48" i="6" s="1"/>
  <c r="E27" i="6"/>
  <c r="F27" i="6" s="1"/>
  <c r="G27" i="6" s="1"/>
  <c r="R7" i="5"/>
  <c r="E41" i="6"/>
  <c r="F41" i="6" s="1"/>
  <c r="G41" i="6" s="1"/>
  <c r="E20" i="6"/>
  <c r="F20" i="6" s="1"/>
  <c r="G20" i="6" s="1"/>
  <c r="E43" i="6"/>
  <c r="F43" i="6" s="1"/>
  <c r="G43" i="6" s="1"/>
  <c r="E22" i="6"/>
  <c r="F22" i="6" s="1"/>
  <c r="G22" i="6" s="1"/>
  <c r="E36" i="6"/>
  <c r="F36" i="6" s="1"/>
  <c r="G36" i="6" s="1"/>
  <c r="E50" i="6"/>
  <c r="F50" i="6" s="1"/>
  <c r="G50" i="6" s="1"/>
  <c r="E29" i="6"/>
  <c r="F29" i="6" s="1"/>
  <c r="G29" i="6" s="1"/>
  <c r="E8" i="6"/>
  <c r="F8" i="6" s="1"/>
  <c r="G8" i="6" s="1"/>
  <c r="R9" i="5"/>
  <c r="E52" i="6"/>
  <c r="F52" i="6" s="1"/>
  <c r="G52" i="6" s="1"/>
  <c r="E31" i="6"/>
  <c r="F31" i="6" s="1"/>
  <c r="G31" i="6" s="1"/>
  <c r="E10" i="6"/>
  <c r="F10" i="6" s="1"/>
  <c r="G10" i="6" s="1"/>
  <c r="R11" i="5"/>
  <c r="E45" i="6"/>
  <c r="F45" i="6" s="1"/>
  <c r="G45" i="6" s="1"/>
  <c r="E24" i="6"/>
  <c r="F24" i="6" s="1"/>
  <c r="G24" i="6" s="1"/>
  <c r="E38" i="6"/>
  <c r="F38" i="6" s="1"/>
  <c r="G38" i="6" s="1"/>
  <c r="E49" i="6"/>
  <c r="F49" i="6" s="1"/>
  <c r="G49" i="6" s="1"/>
  <c r="E28" i="6"/>
  <c r="F28" i="6" s="1"/>
  <c r="G28" i="6" s="1"/>
  <c r="R8" i="5"/>
  <c r="E42" i="6"/>
  <c r="F42" i="6" s="1"/>
  <c r="G42" i="6" s="1"/>
  <c r="E21" i="6"/>
  <c r="F21" i="6" s="1"/>
  <c r="G21" i="6" s="1"/>
  <c r="E56" i="6"/>
  <c r="F56" i="6" s="1"/>
  <c r="G56" i="6" s="1"/>
  <c r="E35" i="6"/>
  <c r="F35" i="6" s="1"/>
  <c r="G35" i="6" s="1"/>
  <c r="E7" i="6"/>
  <c r="F7" i="6" s="1"/>
  <c r="G7" i="6" s="1"/>
  <c r="E40" i="6"/>
  <c r="F40" i="6" s="1"/>
  <c r="G40" i="6" s="1"/>
  <c r="E19" i="6"/>
  <c r="F19" i="6" s="1"/>
  <c r="G19" i="6" s="1"/>
  <c r="E54" i="6"/>
  <c r="F54" i="6" s="1"/>
  <c r="G54" i="6" s="1"/>
  <c r="E33" i="6"/>
  <c r="F33" i="6" s="1"/>
  <c r="G33" i="6" s="1"/>
  <c r="E47" i="6"/>
  <c r="F47" i="6" s="1"/>
  <c r="G47" i="6" s="1"/>
  <c r="E26" i="6"/>
  <c r="F26" i="6" s="1"/>
  <c r="G26" i="6" s="1"/>
  <c r="R6" i="5"/>
  <c r="R5" i="5"/>
  <c r="E46" i="6"/>
  <c r="F46" i="6" s="1"/>
  <c r="G46" i="6" s="1"/>
  <c r="E25" i="6"/>
  <c r="F25" i="6" s="1"/>
  <c r="G25" i="6" s="1"/>
  <c r="E39" i="6"/>
  <c r="F39" i="6" s="1"/>
  <c r="G39" i="6" s="1"/>
  <c r="E18" i="6"/>
  <c r="F18" i="6" s="1"/>
  <c r="G18" i="6" s="1"/>
  <c r="E53" i="6"/>
  <c r="F53" i="6" s="1"/>
  <c r="G53" i="6" s="1"/>
  <c r="E32" i="6"/>
  <c r="F32" i="6" s="1"/>
  <c r="G32" i="6" s="1"/>
  <c r="D18" i="16"/>
  <c r="G15" i="16"/>
  <c r="H15" i="16" s="1"/>
  <c r="N15" i="16"/>
  <c r="K15" i="16"/>
  <c r="J15" i="16"/>
  <c r="M15" i="16"/>
  <c r="Q33" i="10"/>
  <c r="L33" i="10"/>
  <c r="P33" i="10"/>
  <c r="E13" i="6" l="1"/>
  <c r="F13" i="6" s="1"/>
  <c r="G13" i="6" s="1"/>
  <c r="E16" i="6"/>
  <c r="F16" i="6" s="1"/>
  <c r="G16" i="6" s="1"/>
  <c r="E15" i="6"/>
  <c r="F15" i="6" s="1"/>
  <c r="G15" i="6" s="1"/>
  <c r="R12" i="5"/>
  <c r="R13" i="5" s="1"/>
  <c r="S10" i="5" s="1"/>
  <c r="E11" i="6"/>
  <c r="F11" i="6" s="1"/>
  <c r="G11" i="6" s="1"/>
  <c r="E12" i="6"/>
  <c r="F12" i="6" s="1"/>
  <c r="G12" i="6" s="1"/>
  <c r="E14" i="6"/>
  <c r="F14" i="6" s="1"/>
  <c r="G14" i="6" s="1"/>
  <c r="S11" i="5"/>
  <c r="E17" i="6"/>
  <c r="F17" i="6" s="1"/>
  <c r="G17" i="6" s="1"/>
  <c r="E16" i="16"/>
  <c r="D19" i="16"/>
  <c r="M35" i="10"/>
  <c r="I35" i="10" s="1"/>
  <c r="J35" i="10" s="1"/>
  <c r="O33" i="10"/>
  <c r="R33" i="10" s="1"/>
  <c r="S8" i="5" l="1"/>
  <c r="S6" i="5"/>
  <c r="S5" i="5"/>
  <c r="S7" i="5"/>
  <c r="S9" i="5"/>
  <c r="I16" i="16"/>
  <c r="F16" i="16"/>
  <c r="D20" i="16"/>
  <c r="Q35" i="10"/>
  <c r="P35" i="10"/>
  <c r="L35" i="10"/>
  <c r="D21" i="16" l="1"/>
  <c r="H16" i="16"/>
  <c r="G16" i="16"/>
  <c r="L16" i="16"/>
  <c r="N16" i="16"/>
  <c r="J16" i="16"/>
  <c r="K16" i="16" s="1"/>
  <c r="O35" i="10"/>
  <c r="R35" i="10" s="1"/>
  <c r="M39" i="10"/>
  <c r="I39" i="10" s="1"/>
  <c r="J39" i="10" s="1"/>
  <c r="E17" i="16" l="1"/>
  <c r="D22" i="16"/>
  <c r="P39" i="10"/>
  <c r="L39" i="10"/>
  <c r="O39" i="10" s="1"/>
  <c r="Q39" i="10"/>
  <c r="D23" i="16" l="1"/>
  <c r="I17" i="16"/>
  <c r="F17" i="16"/>
  <c r="R39" i="10"/>
  <c r="R41" i="10" s="1"/>
  <c r="R43" i="10" s="1"/>
  <c r="G17" i="16" l="1"/>
  <c r="H17" i="16" s="1"/>
  <c r="L17" i="16"/>
  <c r="N17" i="16"/>
  <c r="K17" i="16"/>
  <c r="J17" i="16"/>
  <c r="M17" i="16"/>
  <c r="D24" i="16"/>
  <c r="E18" i="16" l="1"/>
  <c r="D25" i="16"/>
  <c r="I18" i="16" l="1"/>
  <c r="F18" i="16"/>
  <c r="D26" i="16"/>
  <c r="H18" i="16" l="1"/>
  <c r="G18" i="16"/>
  <c r="L18" i="16"/>
  <c r="N18" i="16"/>
  <c r="D27" i="16"/>
  <c r="J18" i="16"/>
  <c r="K18" i="16" s="1"/>
  <c r="M18" i="16"/>
  <c r="D28" i="16" l="1"/>
  <c r="I19" i="16" l="1"/>
  <c r="F19" i="16"/>
  <c r="G19" i="16" l="1"/>
  <c r="H19" i="16" s="1"/>
  <c r="L19" i="16"/>
  <c r="N19" i="16"/>
  <c r="K19" i="16"/>
  <c r="J19" i="16"/>
  <c r="M19" i="16"/>
  <c r="E20" i="16" l="1"/>
  <c r="I20" i="16" l="1"/>
  <c r="F20" i="16"/>
  <c r="H20" i="16" l="1"/>
  <c r="G20" i="16"/>
  <c r="L20" i="16"/>
  <c r="N20" i="16"/>
  <c r="J20" i="16"/>
  <c r="K20" i="16" s="1"/>
  <c r="M20" i="16"/>
  <c r="E21" i="16" l="1"/>
  <c r="I21" i="16" l="1"/>
  <c r="F21" i="16"/>
  <c r="H21" i="16" l="1"/>
  <c r="G21" i="16"/>
  <c r="L21" i="16"/>
  <c r="N21" i="16"/>
  <c r="J21" i="16"/>
  <c r="K21" i="16" s="1"/>
  <c r="M21" i="16"/>
  <c r="E22" i="16" l="1"/>
  <c r="I22" i="16" l="1"/>
  <c r="F22" i="16"/>
  <c r="G22" i="16" l="1"/>
  <c r="H22" i="16" s="1"/>
  <c r="L22" i="16"/>
  <c r="N22" i="16"/>
  <c r="K22" i="16"/>
  <c r="J22" i="16"/>
  <c r="M22" i="16"/>
  <c r="E23" i="16" l="1"/>
  <c r="I23" i="16"/>
  <c r="F23" i="16"/>
  <c r="H23" i="16" l="1"/>
  <c r="G23" i="16"/>
  <c r="L23" i="16"/>
  <c r="N23" i="16"/>
  <c r="J23" i="16"/>
  <c r="K23" i="16" s="1"/>
  <c r="M23" i="16"/>
  <c r="E24" i="16" l="1"/>
  <c r="I24" i="16" l="1"/>
  <c r="F24" i="16"/>
  <c r="G24" i="16" l="1"/>
  <c r="H24" i="16" s="1"/>
  <c r="L24" i="16"/>
  <c r="N24" i="16"/>
  <c r="K24" i="16"/>
  <c r="J24" i="16"/>
  <c r="M24" i="16"/>
  <c r="E25" i="16" l="1"/>
  <c r="I25" i="16" l="1"/>
  <c r="F25" i="16"/>
  <c r="G25" i="16" l="1"/>
  <c r="H25" i="16" s="1"/>
  <c r="L25" i="16"/>
  <c r="N25" i="16"/>
  <c r="K25" i="16"/>
  <c r="J25" i="16"/>
  <c r="M25" i="16"/>
  <c r="E26" i="16" l="1"/>
  <c r="I26" i="16"/>
  <c r="F26" i="16"/>
  <c r="G26" i="16" l="1"/>
  <c r="H26" i="16" s="1"/>
  <c r="L26" i="16"/>
  <c r="N26" i="16"/>
  <c r="K26" i="16"/>
  <c r="J26" i="16"/>
  <c r="M26" i="16"/>
  <c r="E27" i="16" l="1"/>
  <c r="I27" i="16"/>
  <c r="F27" i="16"/>
  <c r="H27" i="16" l="1"/>
  <c r="G27" i="16"/>
  <c r="L27" i="16"/>
  <c r="N27" i="16"/>
  <c r="J27" i="16"/>
  <c r="K27" i="16" s="1"/>
  <c r="M27" i="16"/>
  <c r="E28" i="16" l="1"/>
  <c r="I28" i="16" l="1"/>
  <c r="F28" i="16"/>
  <c r="H28" i="16" l="1"/>
  <c r="G28" i="16"/>
  <c r="L28" i="16"/>
  <c r="H33" i="16" s="1"/>
  <c r="H34" i="16" s="1"/>
  <c r="N28" i="16"/>
  <c r="J28" i="16"/>
  <c r="K28" i="16" s="1"/>
  <c r="M28" i="16"/>
  <c r="H38" i="16" s="1"/>
  <c r="H39" i="16" l="1"/>
  <c r="E33" i="16"/>
  <c r="E34" i="16"/>
  <c r="E35" i="16"/>
  <c r="S1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<sst xmlns="http://schemas.openxmlformats.org/spreadsheetml/2006/main" count="355" uniqueCount="216">
  <si>
    <t>New Subscription Calls</t>
  </si>
  <si>
    <t>Date</t>
  </si>
  <si>
    <t>New Calls</t>
  </si>
  <si>
    <t>CMA-3</t>
  </si>
  <si>
    <t>CMA-7</t>
  </si>
  <si>
    <t>CMA-14</t>
  </si>
  <si>
    <t>Detrended Time Series</t>
  </si>
  <si>
    <t>CMA7</t>
  </si>
  <si>
    <t>Detrended Time series</t>
  </si>
  <si>
    <t>Week</t>
  </si>
  <si>
    <t>Day</t>
  </si>
  <si>
    <t>Day/Week</t>
  </si>
  <si>
    <t>Week-1</t>
  </si>
  <si>
    <t>Week-2</t>
  </si>
  <si>
    <t>Week-3</t>
  </si>
  <si>
    <t>Week-4</t>
  </si>
  <si>
    <t>Week-5</t>
  </si>
  <si>
    <t>Week-6</t>
  </si>
  <si>
    <t>Week-7</t>
  </si>
  <si>
    <t>Week-8</t>
  </si>
  <si>
    <t>Median Seasonal Profile</t>
  </si>
  <si>
    <t>Adjusted Seasonal Profile</t>
  </si>
  <si>
    <t>Average Seasonal Indices</t>
  </si>
  <si>
    <t>Season and Trend</t>
  </si>
  <si>
    <t>Noise</t>
  </si>
  <si>
    <t>Seasonal Naïve forecast</t>
  </si>
  <si>
    <t>Error</t>
  </si>
  <si>
    <t>Absolute Error</t>
  </si>
  <si>
    <t>Squared Error</t>
  </si>
  <si>
    <t xml:space="preserve">In-sample </t>
  </si>
  <si>
    <t>Mean Error</t>
  </si>
  <si>
    <t>Mean Absoulute Error</t>
  </si>
  <si>
    <t>Mean Squared Error</t>
  </si>
  <si>
    <t>RMSE</t>
  </si>
  <si>
    <t>Out of Sample</t>
  </si>
  <si>
    <t>Seasonal Average Model</t>
  </si>
  <si>
    <t>Mean Absolute Error</t>
  </si>
  <si>
    <t>Level</t>
  </si>
  <si>
    <t>Season</t>
  </si>
  <si>
    <t>Seasonal Exponential Forecast</t>
  </si>
  <si>
    <t>Season (gamma)</t>
  </si>
  <si>
    <t>In Sample</t>
  </si>
  <si>
    <t>Mean Absoulte Error</t>
  </si>
  <si>
    <t>Seed</t>
  </si>
  <si>
    <t>Number of Installations</t>
  </si>
  <si>
    <t>Probability</t>
  </si>
  <si>
    <t>Number of Boxes</t>
  </si>
  <si>
    <t>Cum. Probability</t>
  </si>
  <si>
    <t>Cut-off</t>
  </si>
  <si>
    <t>Ordering Cost</t>
  </si>
  <si>
    <t>Holding Cost</t>
  </si>
  <si>
    <t>Backorder Cost</t>
  </si>
  <si>
    <t>Initial Stock</t>
  </si>
  <si>
    <t>Reorder Point (R)</t>
  </si>
  <si>
    <t>Reorder Quantity (Q)</t>
  </si>
  <si>
    <t>Total Boxes</t>
  </si>
  <si>
    <t>Engineer/Customer</t>
  </si>
  <si>
    <t>Job 1</t>
  </si>
  <si>
    <t>Job 2</t>
  </si>
  <si>
    <t>Job 3</t>
  </si>
  <si>
    <t>Job 4</t>
  </si>
  <si>
    <t>Job 5</t>
  </si>
  <si>
    <t>Tom</t>
  </si>
  <si>
    <t>Bob</t>
  </si>
  <si>
    <t>Paul</t>
  </si>
  <si>
    <t>Steve</t>
  </si>
  <si>
    <t>Lucas</t>
  </si>
  <si>
    <t>Random 1</t>
  </si>
  <si>
    <t>Random 2</t>
  </si>
  <si>
    <t>Random Num 1</t>
  </si>
  <si>
    <t>Installations</t>
  </si>
  <si>
    <t>Boxes</t>
  </si>
  <si>
    <t>Inventory</t>
  </si>
  <si>
    <t>Beginning</t>
  </si>
  <si>
    <t>Ending</t>
  </si>
  <si>
    <t>Order</t>
  </si>
  <si>
    <t>Receive</t>
  </si>
  <si>
    <t>Ordering</t>
  </si>
  <si>
    <t>Costs</t>
  </si>
  <si>
    <t>Holding</t>
  </si>
  <si>
    <t>Backorder</t>
  </si>
  <si>
    <t>Total</t>
  </si>
  <si>
    <t>Total Cost</t>
  </si>
  <si>
    <t>Average Daily Cost</t>
  </si>
  <si>
    <t>Distance Matrix</t>
  </si>
  <si>
    <t>Total Distance Matrix</t>
  </si>
  <si>
    <t xml:space="preserve">Arrivals per Time Period (Lambda) </t>
  </si>
  <si>
    <t>Arrivals per Hour</t>
  </si>
  <si>
    <t>Time Period per Arrival</t>
  </si>
  <si>
    <t>Minutes per Arrival</t>
  </si>
  <si>
    <t>Poission Arrival Distribution</t>
  </si>
  <si>
    <t>Cumulative Probabilty</t>
  </si>
  <si>
    <t>Minutes before arrival</t>
  </si>
  <si>
    <t>Poisson</t>
  </si>
  <si>
    <t>Inter-arrival rate</t>
  </si>
  <si>
    <t>Exponential</t>
  </si>
  <si>
    <t>Service Rate</t>
  </si>
  <si>
    <t>Mean Service Time</t>
  </si>
  <si>
    <t>Vehicle (Poisson)</t>
  </si>
  <si>
    <t>Mechanic 1 (Exponential)</t>
  </si>
  <si>
    <t>Mechanic 2 (Exponential)</t>
  </si>
  <si>
    <t>Waiting</t>
  </si>
  <si>
    <t>Vehicles</t>
  </si>
  <si>
    <t>Time between arrival</t>
  </si>
  <si>
    <t>Arrival Time</t>
  </si>
  <si>
    <t>Start Time</t>
  </si>
  <si>
    <t>Service Time</t>
  </si>
  <si>
    <t>Completion Time</t>
  </si>
  <si>
    <t>Idle 1</t>
  </si>
  <si>
    <t>Idle 2</t>
  </si>
  <si>
    <t>Wait Time</t>
  </si>
  <si>
    <t>Mechanic 1</t>
  </si>
  <si>
    <t>Total Wait Time</t>
  </si>
  <si>
    <t>Total Idle Time</t>
  </si>
  <si>
    <t>Average Wait Time</t>
  </si>
  <si>
    <t>Idle Time %</t>
  </si>
  <si>
    <t>Maximum Wait Time</t>
  </si>
  <si>
    <t>Mechanic 2</t>
  </si>
  <si>
    <t>Random 3</t>
  </si>
  <si>
    <t>Total Distance</t>
  </si>
  <si>
    <t>Microsoft Excel 16.0 Answer Report</t>
  </si>
  <si>
    <t>Worksheet: [NEHA FILE.xlsx]5.1 Linear Programming</t>
  </si>
  <si>
    <t>Report Created: 08/05/2025 2:36:42 am</t>
  </si>
  <si>
    <t>Result: Solver found a solution.  All Constraints and optimality conditions are satisfied.</t>
  </si>
  <si>
    <t>Solver Engine</t>
  </si>
  <si>
    <t>Engine: Simplex LP</t>
  </si>
  <si>
    <t>Solution Time: 0.36 Seconds.</t>
  </si>
  <si>
    <t>Iterations: 12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</si>
  <si>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</si>
  <si>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</si>
  <si>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</si>
  <si>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</si>
  <si>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</si>
  <si>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</si>
  <si>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</si>
  <si>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</si>
  <si>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</si>
  <si>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</si>
  <si>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</si>
  <si>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</si>
  <si>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</si>
  <si>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</si>
  <si>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</si>
  <si>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$H$36</t>
  </si>
  <si>
    <t>$C$19</t>
  </si>
  <si>
    <t>Tom Job 1</t>
  </si>
  <si>
    <t>$D$19</t>
  </si>
  <si>
    <t>Tom Job 2</t>
  </si>
  <si>
    <t>$E$19</t>
  </si>
  <si>
    <t>Tom Job 3</t>
  </si>
  <si>
    <t>$F$19</t>
  </si>
  <si>
    <t>Tom Job 4</t>
  </si>
  <si>
    <t>$G$19</t>
  </si>
  <si>
    <t>Tom Job 5</t>
  </si>
  <si>
    <t>$C$20</t>
  </si>
  <si>
    <t>Bob Job 1</t>
  </si>
  <si>
    <t>$D$20</t>
  </si>
  <si>
    <t>Bob Job 2</t>
  </si>
  <si>
    <t>$E$20</t>
  </si>
  <si>
    <t>Bob Job 3</t>
  </si>
  <si>
    <t>$F$20</t>
  </si>
  <si>
    <t>Bob Job 4</t>
  </si>
  <si>
    <t>$G$20</t>
  </si>
  <si>
    <t>Bob Job 5</t>
  </si>
  <si>
    <t>$C$21</t>
  </si>
  <si>
    <t>Paul Job 1</t>
  </si>
  <si>
    <t>$D$21</t>
  </si>
  <si>
    <t>Paul Job 2</t>
  </si>
  <si>
    <t>$E$21</t>
  </si>
  <si>
    <t>Paul Job 3</t>
  </si>
  <si>
    <t>$F$21</t>
  </si>
  <si>
    <t>Paul Job 4</t>
  </si>
  <si>
    <t>$G$21</t>
  </si>
  <si>
    <t>Paul Job 5</t>
  </si>
  <si>
    <t>$C$22</t>
  </si>
  <si>
    <t>Steve Job 1</t>
  </si>
  <si>
    <t>$D$22</t>
  </si>
  <si>
    <t>Steve Job 2</t>
  </si>
  <si>
    <t>$E$22</t>
  </si>
  <si>
    <t>Steve Job 3</t>
  </si>
  <si>
    <t>$F$22</t>
  </si>
  <si>
    <t>Steve Job 4</t>
  </si>
  <si>
    <t>$G$22</t>
  </si>
  <si>
    <t>Steve Job 5</t>
  </si>
  <si>
    <t>$C$23</t>
  </si>
  <si>
    <t>Lucas Job 1</t>
  </si>
  <si>
    <t>$D$23</t>
  </si>
  <si>
    <t>Lucas Job 2</t>
  </si>
  <si>
    <t>$E$23</t>
  </si>
  <si>
    <t>Lucas Job 3</t>
  </si>
  <si>
    <t>$F$23</t>
  </si>
  <si>
    <t>Lucas Job 4</t>
  </si>
  <si>
    <t>$G$23</t>
  </si>
  <si>
    <t>Lucas Job 5</t>
  </si>
  <si>
    <t>$C$25</t>
  </si>
  <si>
    <t>Total Job 1</t>
  </si>
  <si>
    <t>$C$25=1</t>
  </si>
  <si>
    <t>Binding</t>
  </si>
  <si>
    <t>$D$25</t>
  </si>
  <si>
    <t>Total Job 2</t>
  </si>
  <si>
    <t>$D$25=1</t>
  </si>
  <si>
    <t>$E$25</t>
  </si>
  <si>
    <t>Total Job 3</t>
  </si>
  <si>
    <t>$E$25=1</t>
  </si>
  <si>
    <t>$F$25</t>
  </si>
  <si>
    <t>Total Job 4</t>
  </si>
  <si>
    <t>$F$25=1</t>
  </si>
  <si>
    <t>$G$25</t>
  </si>
  <si>
    <t>Total Job 5</t>
  </si>
  <si>
    <t>$G$25=1</t>
  </si>
  <si>
    <t>$C$19:$G$23=Binary</t>
  </si>
  <si>
    <t>Binary</t>
  </si>
  <si>
    <t>$C$19:$G$23</t>
  </si>
  <si>
    <t xml:space="preserve">Mechanic </t>
  </si>
  <si>
    <t>Decision Matrix</t>
  </si>
  <si>
    <t>Level (Alpha)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</si>
</sst>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dddd"/>
    <numFmt numFmtId="166" formatCode="0.00000"/>
    <numFmt numFmtId="167" formatCode="0.0000"/>
    <numFmt numFmtId="168" formatCode="0.000"/>
    <numFmt numFmtId="169" formatCode="_-* #,##0.0000000_-;\-* #,##0.0000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" fontId="3" fillId="0" borderId="1" xfId="0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2" fontId="0" fillId="0" borderId="0" xfId="0" applyNumberFormat="1"/>
    <xf numFmtId="16" fontId="3" fillId="3" borderId="1" xfId="0" applyNumberFormat="1" applyFont="1" applyFill="1" applyBorder="1" applyAlignment="1">
      <alignment horizontal="left"/>
    </xf>
    <xf numFmtId="164" fontId="3" fillId="3" borderId="1" xfId="1" applyNumberFormat="1" applyFont="1" applyFill="1" applyBorder="1" applyAlignment="1">
      <alignment horizontal="right"/>
    </xf>
    <xf numFmtId="166" fontId="0" fillId="0" borderId="0" xfId="0" applyNumberFormat="1"/>
    <xf numFmtId="168" fontId="0" fillId="0" borderId="0" xfId="0" applyNumberFormat="1"/>
    <xf numFmtId="0" fontId="0" fillId="0" borderId="1" xfId="0" applyBorder="1"/>
    <xf numFmtId="0" fontId="5" fillId="0" borderId="0" xfId="0" applyFont="1"/>
    <xf numFmtId="0" fontId="3" fillId="0" borderId="1" xfId="0" applyFont="1" applyBorder="1"/>
    <xf numFmtId="2" fontId="0" fillId="0" borderId="1" xfId="0" applyNumberFormat="1" applyBorder="1"/>
    <xf numFmtId="1" fontId="0" fillId="0" borderId="1" xfId="0" applyNumberFormat="1" applyBorder="1"/>
    <xf numFmtId="168" fontId="0" fillId="0" borderId="1" xfId="0" applyNumberFormat="1" applyBorder="1"/>
    <xf numFmtId="0" fontId="0" fillId="0" borderId="1" xfId="0" applyBorder="1" applyAlignment="1">
      <alignment wrapText="1"/>
    </xf>
    <xf numFmtId="169" fontId="0" fillId="0" borderId="1" xfId="1" applyNumberFormat="1" applyFont="1" applyBorder="1"/>
    <xf numFmtId="169" fontId="0" fillId="0" borderId="1" xfId="0" applyNumberFormat="1" applyBorder="1"/>
    <xf numFmtId="10" fontId="0" fillId="0" borderId="1" xfId="2" applyNumberFormat="1" applyFont="1" applyBorder="1"/>
    <xf numFmtId="10" fontId="0" fillId="0" borderId="1" xfId="0" applyNumberFormat="1" applyBorder="1"/>
    <xf numFmtId="0" fontId="0" fillId="0" borderId="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0" fillId="0" borderId="0" xfId="0" applyNumberFormat="1" applyFill="1" applyBorder="1" applyAlignment="1"/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5" fillId="4" borderId="1" xfId="0" applyFont="1" applyFill="1" applyBorder="1"/>
    <xf numFmtId="1" fontId="5" fillId="4" borderId="1" xfId="0" applyNumberFormat="1" applyFont="1" applyFill="1" applyBorder="1"/>
    <xf numFmtId="0" fontId="0" fillId="0" borderId="0" xfId="0" applyBorder="1"/>
    <xf numFmtId="0" fontId="5" fillId="0" borderId="0" xfId="0" applyFont="1" applyFill="1"/>
    <xf numFmtId="0" fontId="0" fillId="0" borderId="0" xfId="0" applyFill="1"/>
    <xf numFmtId="0" fontId="5" fillId="0" borderId="0" xfId="0" applyFont="1" applyBorder="1" applyAlignment="1">
      <alignment wrapText="1"/>
    </xf>
    <xf numFmtId="0" fontId="0" fillId="4" borderId="1" xfId="0" applyFill="1" applyBorder="1" applyAlignment="1">
      <alignment wrapText="1"/>
    </xf>
    <xf numFmtId="167" fontId="0" fillId="0" borderId="1" xfId="0" applyNumberFormat="1" applyBorder="1"/>
    <xf numFmtId="0" fontId="3" fillId="4" borderId="1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0" fillId="0" borderId="0" xfId="0" applyFill="1" applyBorder="1"/>
    <xf numFmtId="9" fontId="0" fillId="0" borderId="0" xfId="2" applyFont="1" applyFill="1" applyBorder="1"/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right"/>
    </xf>
    <xf numFmtId="0" fontId="5" fillId="4" borderId="10" xfId="0" applyFont="1" applyFill="1" applyBorder="1"/>
    <xf numFmtId="0" fontId="0" fillId="0" borderId="9" xfId="0" applyBorder="1"/>
    <xf numFmtId="0" fontId="0" fillId="0" borderId="10" xfId="0" applyBorder="1"/>
    <xf numFmtId="1" fontId="0" fillId="0" borderId="10" xfId="0" applyNumberFormat="1" applyBorder="1"/>
    <xf numFmtId="0" fontId="0" fillId="0" borderId="11" xfId="0" applyBorder="1"/>
    <xf numFmtId="0" fontId="0" fillId="0" borderId="12" xfId="0" applyBorder="1"/>
    <xf numFmtId="1" fontId="0" fillId="0" borderId="13" xfId="0" applyNumberFormat="1" applyBorder="1"/>
    <xf numFmtId="0" fontId="5" fillId="4" borderId="9" xfId="0" applyFont="1" applyFill="1" applyBorder="1"/>
    <xf numFmtId="2" fontId="0" fillId="0" borderId="10" xfId="0" applyNumberFormat="1" applyBorder="1"/>
    <xf numFmtId="2" fontId="0" fillId="0" borderId="9" xfId="0" applyNumberFormat="1" applyBorder="1"/>
    <xf numFmtId="2" fontId="0" fillId="0" borderId="11" xfId="0" applyNumberFormat="1" applyBorder="1"/>
    <xf numFmtId="2" fontId="0" fillId="0" borderId="13" xfId="0" applyNumberFormat="1" applyBorder="1"/>
    <xf numFmtId="2" fontId="0" fillId="0" borderId="12" xfId="0" applyNumberFormat="1" applyBorder="1"/>
    <xf numFmtId="164" fontId="0" fillId="0" borderId="1" xfId="0" applyNumberFormat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0" fontId="2" fillId="0" borderId="0" xfId="0" applyFont="1" applyBorder="1" applyAlignment="1">
      <alignment horizontal="left"/>
    </xf>
    <xf numFmtId="16" fontId="3" fillId="0" borderId="0" xfId="0" applyNumberFormat="1" applyFont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/>
    <xf numFmtId="16" fontId="0" fillId="0" borderId="1" xfId="0" applyNumberFormat="1" applyBorder="1"/>
    <xf numFmtId="0" fontId="2" fillId="4" borderId="1" xfId="0" applyFont="1" applyFill="1" applyBorder="1"/>
    <xf numFmtId="43" fontId="0" fillId="0" borderId="1" xfId="0" applyNumberFormat="1" applyBorder="1"/>
    <xf numFmtId="2" fontId="3" fillId="0" borderId="1" xfId="0" applyNumberFormat="1" applyFont="1" applyBorder="1"/>
    <xf numFmtId="1" fontId="3" fillId="0" borderId="1" xfId="0" applyNumberFormat="1" applyFont="1" applyBorder="1"/>
    <xf numFmtId="164" fontId="3" fillId="0" borderId="1" xfId="0" applyNumberFormat="1" applyFont="1" applyBorder="1"/>
    <xf numFmtId="0" fontId="3" fillId="3" borderId="1" xfId="0" applyFont="1" applyFill="1" applyBorder="1"/>
    <xf numFmtId="16" fontId="3" fillId="3" borderId="1" xfId="0" applyNumberFormat="1" applyFont="1" applyFill="1" applyBorder="1"/>
    <xf numFmtId="2" fontId="2" fillId="4" borderId="1" xfId="0" applyNumberFormat="1" applyFont="1" applyFill="1" applyBorder="1"/>
    <xf numFmtId="2" fontId="3" fillId="3" borderId="1" xfId="0" applyNumberFormat="1" applyFont="1" applyFill="1" applyBorder="1"/>
    <xf numFmtId="164" fontId="3" fillId="3" borderId="1" xfId="0" applyNumberFormat="1" applyFont="1" applyFill="1" applyBorder="1"/>
    <xf numFmtId="164" fontId="3" fillId="0" borderId="0" xfId="1" applyNumberFormat="1" applyFont="1" applyBorder="1" applyAlignment="1">
      <alignment horizontal="right"/>
    </xf>
    <xf numFmtId="164" fontId="3" fillId="0" borderId="0" xfId="1" applyNumberFormat="1" applyFont="1" applyFill="1" applyBorder="1" applyAlignment="1">
      <alignment horizontal="right"/>
    </xf>
    <xf numFmtId="43" fontId="3" fillId="0" borderId="1" xfId="0" applyNumberFormat="1" applyFont="1" applyBorder="1"/>
    <xf numFmtId="43" fontId="3" fillId="3" borderId="1" xfId="0" applyNumberFormat="1" applyFont="1" applyFill="1" applyBorder="1"/>
    <xf numFmtId="0" fontId="5" fillId="4" borderId="2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Centered</a:t>
            </a:r>
            <a:r>
              <a:rPr lang="en-US" b="1" baseline="0"/>
              <a:t> Moving Average Comparisons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 CMA'!$C$2</c:f>
              <c:strCache>
                <c:ptCount val="1"/>
                <c:pt idx="0">
                  <c:v>New 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'2.1 CMA'!$B$3:$B$58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'2.1 CMA'!$C$3:$C$58</c:f>
              <c:numCache>
                <c:formatCode>_-* #,##0_-;\-* #,##0_-;_-* "-"??_-;_-@_-</c:formatCode>
                <c:ptCount val="56"/>
                <c:pt idx="0">
                  <c:v>1576</c:v>
                </c:pt>
                <c:pt idx="1">
                  <c:v>2299</c:v>
                </c:pt>
                <c:pt idx="2">
                  <c:v>1878</c:v>
                </c:pt>
                <c:pt idx="3">
                  <c:v>1628</c:v>
                </c:pt>
                <c:pt idx="4">
                  <c:v>1555</c:v>
                </c:pt>
                <c:pt idx="5">
                  <c:v>1240</c:v>
                </c:pt>
                <c:pt idx="6">
                  <c:v>864</c:v>
                </c:pt>
                <c:pt idx="7">
                  <c:v>1882</c:v>
                </c:pt>
                <c:pt idx="8">
                  <c:v>2306</c:v>
                </c:pt>
                <c:pt idx="9">
                  <c:v>1988</c:v>
                </c:pt>
                <c:pt idx="10">
                  <c:v>1886</c:v>
                </c:pt>
                <c:pt idx="11">
                  <c:v>1365</c:v>
                </c:pt>
                <c:pt idx="12">
                  <c:v>998</c:v>
                </c:pt>
                <c:pt idx="13">
                  <c:v>1052</c:v>
                </c:pt>
                <c:pt idx="14">
                  <c:v>1905</c:v>
                </c:pt>
                <c:pt idx="15">
                  <c:v>1767</c:v>
                </c:pt>
                <c:pt idx="16">
                  <c:v>1911</c:v>
                </c:pt>
                <c:pt idx="17">
                  <c:v>2036</c:v>
                </c:pt>
                <c:pt idx="18">
                  <c:v>1428</c:v>
                </c:pt>
                <c:pt idx="19">
                  <c:v>1008</c:v>
                </c:pt>
                <c:pt idx="20">
                  <c:v>1082</c:v>
                </c:pt>
                <c:pt idx="21">
                  <c:v>1921</c:v>
                </c:pt>
                <c:pt idx="22">
                  <c:v>1780</c:v>
                </c:pt>
                <c:pt idx="23">
                  <c:v>2071</c:v>
                </c:pt>
                <c:pt idx="24">
                  <c:v>1813</c:v>
                </c:pt>
                <c:pt idx="25">
                  <c:v>1780</c:v>
                </c:pt>
                <c:pt idx="26">
                  <c:v>1236</c:v>
                </c:pt>
                <c:pt idx="27">
                  <c:v>1082</c:v>
                </c:pt>
                <c:pt idx="28">
                  <c:v>1777</c:v>
                </c:pt>
                <c:pt idx="29">
                  <c:v>1766</c:v>
                </c:pt>
                <c:pt idx="30">
                  <c:v>1884</c:v>
                </c:pt>
                <c:pt idx="31">
                  <c:v>1780</c:v>
                </c:pt>
                <c:pt idx="32">
                  <c:v>1572</c:v>
                </c:pt>
                <c:pt idx="33">
                  <c:v>948</c:v>
                </c:pt>
                <c:pt idx="34">
                  <c:v>1085</c:v>
                </c:pt>
                <c:pt idx="35">
                  <c:v>2917</c:v>
                </c:pt>
                <c:pt idx="36">
                  <c:v>2801</c:v>
                </c:pt>
                <c:pt idx="37">
                  <c:v>3075</c:v>
                </c:pt>
                <c:pt idx="38">
                  <c:v>2737</c:v>
                </c:pt>
                <c:pt idx="39">
                  <c:v>2329</c:v>
                </c:pt>
                <c:pt idx="40">
                  <c:v>1540</c:v>
                </c:pt>
                <c:pt idx="41">
                  <c:v>1787</c:v>
                </c:pt>
                <c:pt idx="42">
                  <c:v>3102</c:v>
                </c:pt>
                <c:pt idx="43">
                  <c:v>2403</c:v>
                </c:pt>
                <c:pt idx="44">
                  <c:v>2927</c:v>
                </c:pt>
                <c:pt idx="45">
                  <c:v>3213</c:v>
                </c:pt>
                <c:pt idx="46">
                  <c:v>2194</c:v>
                </c:pt>
                <c:pt idx="47">
                  <c:v>1780</c:v>
                </c:pt>
                <c:pt idx="48">
                  <c:v>1408</c:v>
                </c:pt>
                <c:pt idx="49">
                  <c:v>2920</c:v>
                </c:pt>
                <c:pt idx="50">
                  <c:v>2647</c:v>
                </c:pt>
                <c:pt idx="51">
                  <c:v>3020</c:v>
                </c:pt>
                <c:pt idx="52">
                  <c:v>2338</c:v>
                </c:pt>
                <c:pt idx="53">
                  <c:v>2950</c:v>
                </c:pt>
                <c:pt idx="54">
                  <c:v>1601</c:v>
                </c:pt>
                <c:pt idx="55">
                  <c:v>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F-49E7-886A-FE9B7CE7FB53}"/>
            </c:ext>
          </c:extLst>
        </c:ser>
        <c:ser>
          <c:idx val="1"/>
          <c:order val="1"/>
          <c:tx>
            <c:strRef>
              <c:f>'2.1 CMA'!$D$2</c:f>
              <c:strCache>
                <c:ptCount val="1"/>
                <c:pt idx="0">
                  <c:v>CMA-3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'2.1 CMA'!$B$3:$B$58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'2.1 CMA'!$D$3:$D$58</c:f>
              <c:numCache>
                <c:formatCode>_-* #,##0_-;\-* #,##0_-;_-* "-"??_-;_-@_-</c:formatCode>
                <c:ptCount val="56"/>
                <c:pt idx="1">
                  <c:v>1917.6666666666667</c:v>
                </c:pt>
                <c:pt idx="2">
                  <c:v>1935</c:v>
                </c:pt>
                <c:pt idx="3">
                  <c:v>1687</c:v>
                </c:pt>
                <c:pt idx="4">
                  <c:v>1474.3333333333333</c:v>
                </c:pt>
                <c:pt idx="5">
                  <c:v>1219.6666666666667</c:v>
                </c:pt>
                <c:pt idx="6">
                  <c:v>1328.6666666666667</c:v>
                </c:pt>
                <c:pt idx="7">
                  <c:v>1684</c:v>
                </c:pt>
                <c:pt idx="8">
                  <c:v>2058.6666666666665</c:v>
                </c:pt>
                <c:pt idx="9">
                  <c:v>2060</c:v>
                </c:pt>
                <c:pt idx="10">
                  <c:v>1746.3333333333333</c:v>
                </c:pt>
                <c:pt idx="11">
                  <c:v>1416.3333333333333</c:v>
                </c:pt>
                <c:pt idx="12">
                  <c:v>1138.3333333333333</c:v>
                </c:pt>
                <c:pt idx="13">
                  <c:v>1318.3333333333333</c:v>
                </c:pt>
                <c:pt idx="14">
                  <c:v>1574.6666666666667</c:v>
                </c:pt>
                <c:pt idx="15">
                  <c:v>1861</c:v>
                </c:pt>
                <c:pt idx="16">
                  <c:v>1904.6666666666667</c:v>
                </c:pt>
                <c:pt idx="17">
                  <c:v>1791.6666666666667</c:v>
                </c:pt>
                <c:pt idx="18">
                  <c:v>1490.6666666666667</c:v>
                </c:pt>
                <c:pt idx="19">
                  <c:v>1172.6666666666667</c:v>
                </c:pt>
                <c:pt idx="20">
                  <c:v>1337</c:v>
                </c:pt>
                <c:pt idx="21">
                  <c:v>1594.3333333333333</c:v>
                </c:pt>
                <c:pt idx="22">
                  <c:v>1924</c:v>
                </c:pt>
                <c:pt idx="23">
                  <c:v>1888</c:v>
                </c:pt>
                <c:pt idx="24">
                  <c:v>1888</c:v>
                </c:pt>
                <c:pt idx="25">
                  <c:v>1609.6666666666667</c:v>
                </c:pt>
                <c:pt idx="26">
                  <c:v>1366</c:v>
                </c:pt>
                <c:pt idx="27">
                  <c:v>1365</c:v>
                </c:pt>
                <c:pt idx="28">
                  <c:v>1541.6666666666667</c:v>
                </c:pt>
                <c:pt idx="29">
                  <c:v>1809</c:v>
                </c:pt>
                <c:pt idx="30">
                  <c:v>1810</c:v>
                </c:pt>
                <c:pt idx="31">
                  <c:v>1745.3333333333333</c:v>
                </c:pt>
                <c:pt idx="32">
                  <c:v>1433.3333333333333</c:v>
                </c:pt>
                <c:pt idx="33">
                  <c:v>1201.6666666666667</c:v>
                </c:pt>
                <c:pt idx="34">
                  <c:v>1650</c:v>
                </c:pt>
                <c:pt idx="35">
                  <c:v>2267.6666666666665</c:v>
                </c:pt>
                <c:pt idx="36">
                  <c:v>2931</c:v>
                </c:pt>
                <c:pt idx="37">
                  <c:v>2871</c:v>
                </c:pt>
                <c:pt idx="38">
                  <c:v>2713.6666666666665</c:v>
                </c:pt>
                <c:pt idx="39">
                  <c:v>2202</c:v>
                </c:pt>
                <c:pt idx="40">
                  <c:v>1885.3333333333333</c:v>
                </c:pt>
                <c:pt idx="41">
                  <c:v>2143</c:v>
                </c:pt>
                <c:pt idx="42">
                  <c:v>2430.6666666666665</c:v>
                </c:pt>
                <c:pt idx="43">
                  <c:v>2810.6666666666665</c:v>
                </c:pt>
                <c:pt idx="44">
                  <c:v>2847.6666666666665</c:v>
                </c:pt>
                <c:pt idx="45">
                  <c:v>2778</c:v>
                </c:pt>
                <c:pt idx="46">
                  <c:v>2395.6666666666665</c:v>
                </c:pt>
                <c:pt idx="47">
                  <c:v>1794</c:v>
                </c:pt>
                <c:pt idx="48">
                  <c:v>2036</c:v>
                </c:pt>
                <c:pt idx="49">
                  <c:v>2325</c:v>
                </c:pt>
                <c:pt idx="50">
                  <c:v>2862.3333333333335</c:v>
                </c:pt>
                <c:pt idx="51">
                  <c:v>2668.3333333333335</c:v>
                </c:pt>
                <c:pt idx="52">
                  <c:v>2769.3333333333335</c:v>
                </c:pt>
                <c:pt idx="53">
                  <c:v>2296.3333333333335</c:v>
                </c:pt>
                <c:pt idx="54">
                  <c:v>2055.3333333333335</c:v>
                </c:pt>
                <c:pt idx="55">
                  <c:v>1608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F-49E7-886A-FE9B7CE7FB53}"/>
            </c:ext>
          </c:extLst>
        </c:ser>
        <c:ser>
          <c:idx val="2"/>
          <c:order val="2"/>
          <c:tx>
            <c:strRef>
              <c:f>'2.1 CMA'!$E$2</c:f>
              <c:strCache>
                <c:ptCount val="1"/>
                <c:pt idx="0">
                  <c:v>CMA-7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'2.1 CMA'!$B$3:$B$58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'2.1 CMA'!$E$3:$E$58</c:f>
              <c:numCache>
                <c:formatCode>General</c:formatCode>
                <c:ptCount val="56"/>
                <c:pt idx="3" formatCode="_-* #,##0_-;\-* #,##0_-;_-* &quot;-&quot;??_-;_-@_-">
                  <c:v>1577.1428571428571</c:v>
                </c:pt>
                <c:pt idx="4" formatCode="_-* #,##0_-;\-* #,##0_-;_-* &quot;-&quot;??_-;_-@_-">
                  <c:v>1620.8571428571429</c:v>
                </c:pt>
                <c:pt idx="5" formatCode="_-* #,##0_-;\-* #,##0_-;_-* &quot;-&quot;??_-;_-@_-">
                  <c:v>1621.8571428571429</c:v>
                </c:pt>
                <c:pt idx="6" formatCode="_-* #,##0_-;\-* #,##0_-;_-* &quot;-&quot;??_-;_-@_-">
                  <c:v>1637.5714285714287</c:v>
                </c:pt>
                <c:pt idx="7" formatCode="_-* #,##0_-;\-* #,##0_-;_-* &quot;-&quot;??_-;_-@_-">
                  <c:v>1674.4285714285713</c:v>
                </c:pt>
                <c:pt idx="8" formatCode="_-* #,##0_-;\-* #,##0_-;_-* &quot;-&quot;??_-;_-@_-">
                  <c:v>1647.2857142857142</c:v>
                </c:pt>
                <c:pt idx="9" formatCode="_-* #,##0_-;\-* #,##0_-;_-* &quot;-&quot;??_-;_-@_-">
                  <c:v>1612.7142857142858</c:v>
                </c:pt>
                <c:pt idx="10" formatCode="_-* #,##0_-;\-* #,##0_-;_-* &quot;-&quot;??_-;_-@_-">
                  <c:v>1639.5714285714287</c:v>
                </c:pt>
                <c:pt idx="11" formatCode="_-* #,##0_-;\-* #,##0_-;_-* &quot;-&quot;??_-;_-@_-">
                  <c:v>1642.8571428571429</c:v>
                </c:pt>
                <c:pt idx="12" formatCode="_-* #,##0_-;\-* #,##0_-;_-* &quot;-&quot;??_-;_-@_-">
                  <c:v>1565.8571428571429</c:v>
                </c:pt>
                <c:pt idx="13" formatCode="_-* #,##0_-;\-* #,##0_-;_-* &quot;-&quot;??_-;_-@_-">
                  <c:v>1554.8571428571429</c:v>
                </c:pt>
                <c:pt idx="14" formatCode="_-* #,##0_-;\-* #,##0_-;_-* &quot;-&quot;??_-;_-@_-">
                  <c:v>1576.2857142857142</c:v>
                </c:pt>
                <c:pt idx="15" formatCode="_-* #,##0_-;\-* #,##0_-;_-* &quot;-&quot;??_-;_-@_-">
                  <c:v>1585.2857142857142</c:v>
                </c:pt>
                <c:pt idx="16" formatCode="_-* #,##0_-;\-* #,##0_-;_-* &quot;-&quot;??_-;_-@_-">
                  <c:v>1586.7142857142858</c:v>
                </c:pt>
                <c:pt idx="17" formatCode="_-* #,##0_-;\-* #,##0_-;_-* &quot;-&quot;??_-;_-@_-">
                  <c:v>1591</c:v>
                </c:pt>
                <c:pt idx="18" formatCode="_-* #,##0_-;\-* #,##0_-;_-* &quot;-&quot;??_-;_-@_-">
                  <c:v>1593.2857142857142</c:v>
                </c:pt>
                <c:pt idx="19" formatCode="_-* #,##0_-;\-* #,##0_-;_-* &quot;-&quot;??_-;_-@_-">
                  <c:v>1595.1428571428571</c:v>
                </c:pt>
                <c:pt idx="20" formatCode="_-* #,##0_-;\-* #,##0_-;_-* &quot;-&quot;??_-;_-@_-">
                  <c:v>1618</c:v>
                </c:pt>
                <c:pt idx="21" formatCode="_-* #,##0_-;\-* #,##0_-;_-* &quot;-&quot;??_-;_-@_-">
                  <c:v>1586.1428571428571</c:v>
                </c:pt>
                <c:pt idx="22" formatCode="_-* #,##0_-;\-* #,##0_-;_-* &quot;-&quot;??_-;_-@_-">
                  <c:v>1636.4285714285713</c:v>
                </c:pt>
                <c:pt idx="23" formatCode="_-* #,##0_-;\-* #,##0_-;_-* &quot;-&quot;??_-;_-@_-">
                  <c:v>1669</c:v>
                </c:pt>
                <c:pt idx="24" formatCode="_-* #,##0_-;\-* #,##0_-;_-* &quot;-&quot;??_-;_-@_-">
                  <c:v>1669</c:v>
                </c:pt>
                <c:pt idx="25" formatCode="_-* #,##0_-;\-* #,##0_-;_-* &quot;-&quot;??_-;_-@_-">
                  <c:v>1648.4285714285713</c:v>
                </c:pt>
                <c:pt idx="26" formatCode="_-* #,##0_-;\-* #,##0_-;_-* &quot;-&quot;??_-;_-@_-">
                  <c:v>1646.4285714285713</c:v>
                </c:pt>
                <c:pt idx="27" formatCode="_-* #,##0_-;\-* #,##0_-;_-* &quot;-&quot;??_-;_-@_-">
                  <c:v>1619.7142857142858</c:v>
                </c:pt>
                <c:pt idx="28" formatCode="_-* #,##0_-;\-* #,##0_-;_-* &quot;-&quot;??_-;_-@_-">
                  <c:v>1615</c:v>
                </c:pt>
                <c:pt idx="29" formatCode="_-* #,##0_-;\-* #,##0_-;_-* &quot;-&quot;??_-;_-@_-">
                  <c:v>1585.2857142857142</c:v>
                </c:pt>
                <c:pt idx="30" formatCode="_-* #,##0_-;\-* #,##0_-;_-* &quot;-&quot;??_-;_-@_-">
                  <c:v>1544.1428571428571</c:v>
                </c:pt>
                <c:pt idx="31" formatCode="_-* #,##0_-;\-* #,##0_-;_-* &quot;-&quot;??_-;_-@_-">
                  <c:v>1544.5714285714287</c:v>
                </c:pt>
                <c:pt idx="32" formatCode="_-* #,##0_-;\-* #,##0_-;_-* &quot;-&quot;??_-;_-@_-">
                  <c:v>1707.4285714285713</c:v>
                </c:pt>
                <c:pt idx="33" formatCode="_-* #,##0_-;\-* #,##0_-;_-* &quot;-&quot;??_-;_-@_-">
                  <c:v>1855.2857142857142</c:v>
                </c:pt>
                <c:pt idx="34" formatCode="_-* #,##0_-;\-* #,##0_-;_-* &quot;-&quot;??_-;_-@_-">
                  <c:v>2025.4285714285713</c:v>
                </c:pt>
                <c:pt idx="35" formatCode="_-* #,##0_-;\-* #,##0_-;_-* &quot;-&quot;??_-;_-@_-">
                  <c:v>2162.1428571428573</c:v>
                </c:pt>
                <c:pt idx="36" formatCode="_-* #,##0_-;\-* #,##0_-;_-* &quot;-&quot;??_-;_-@_-">
                  <c:v>2270.2857142857142</c:v>
                </c:pt>
                <c:pt idx="37" formatCode="_-* #,##0_-;\-* #,##0_-;_-* &quot;-&quot;??_-;_-@_-">
                  <c:v>2354.8571428571427</c:v>
                </c:pt>
                <c:pt idx="38" formatCode="_-* #,##0_-;\-* #,##0_-;_-* &quot;-&quot;??_-;_-@_-">
                  <c:v>2455.1428571428573</c:v>
                </c:pt>
                <c:pt idx="39" formatCode="_-* #,##0_-;\-* #,##0_-;_-* &quot;-&quot;??_-;_-@_-">
                  <c:v>2481.5714285714284</c:v>
                </c:pt>
                <c:pt idx="40" formatCode="_-* #,##0_-;\-* #,##0_-;_-* &quot;-&quot;??_-;_-@_-">
                  <c:v>2424.7142857142858</c:v>
                </c:pt>
                <c:pt idx="41" formatCode="_-* #,##0_-;\-* #,##0_-;_-* &quot;-&quot;??_-;_-@_-">
                  <c:v>2403.5714285714284</c:v>
                </c:pt>
                <c:pt idx="42" formatCode="_-* #,##0_-;\-* #,##0_-;_-* &quot;-&quot;??_-;_-@_-">
                  <c:v>2471.5714285714284</c:v>
                </c:pt>
                <c:pt idx="43" formatCode="_-* #,##0_-;\-* #,##0_-;_-* &quot;-&quot;??_-;_-@_-">
                  <c:v>2452.2857142857142</c:v>
                </c:pt>
                <c:pt idx="44" formatCode="_-* #,##0_-;\-* #,##0_-;_-* &quot;-&quot;??_-;_-@_-">
                  <c:v>2486.5714285714284</c:v>
                </c:pt>
                <c:pt idx="45" formatCode="_-* #,##0_-;\-* #,##0_-;_-* &quot;-&quot;??_-;_-@_-">
                  <c:v>2432.4285714285716</c:v>
                </c:pt>
                <c:pt idx="46" formatCode="_-* #,##0_-;\-* #,##0_-;_-* &quot;-&quot;??_-;_-@_-">
                  <c:v>2406.4285714285716</c:v>
                </c:pt>
                <c:pt idx="47" formatCode="_-* #,##0_-;\-* #,##0_-;_-* &quot;-&quot;??_-;_-@_-">
                  <c:v>2441.2857142857142</c:v>
                </c:pt>
                <c:pt idx="48" formatCode="_-* #,##0_-;\-* #,##0_-;_-* &quot;-&quot;??_-;_-@_-">
                  <c:v>2454.5714285714284</c:v>
                </c:pt>
                <c:pt idx="49" formatCode="_-* #,##0_-;\-* #,##0_-;_-* &quot;-&quot;??_-;_-@_-">
                  <c:v>2329.5714285714284</c:v>
                </c:pt>
                <c:pt idx="50" formatCode="_-* #,##0_-;\-* #,##0_-;_-* &quot;-&quot;??_-;_-@_-">
                  <c:v>2437.5714285714284</c:v>
                </c:pt>
                <c:pt idx="51" formatCode="_-* #,##0_-;\-* #,##0_-;_-* &quot;-&quot;??_-;_-@_-">
                  <c:v>2412</c:v>
                </c:pt>
                <c:pt idx="52" formatCode="_-* #,##0_-;\-* #,##0_-;_-* &quot;-&quot;??_-;_-@_-">
                  <c:v>2441.5714285714284</c:v>
                </c:pt>
                <c:pt idx="53" formatCode="_-* #,##0_-;\-* #,##0_-;_-* &quot;-&quot;??_-;_-@_-">
                  <c:v>2361.8333333333335</c:v>
                </c:pt>
                <c:pt idx="54" formatCode="_-* #,##0_-;\-* #,##0_-;_-* &quot;-&quot;??_-;_-@_-">
                  <c:v>2304.8000000000002</c:v>
                </c:pt>
                <c:pt idx="55" formatCode="_-* #,##0_-;\-* #,##0_-;_-* &quot;-&quot;??_-;_-@_-">
                  <c:v>2126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1F-49E7-886A-FE9B7CE7FB53}"/>
            </c:ext>
          </c:extLst>
        </c:ser>
        <c:ser>
          <c:idx val="3"/>
          <c:order val="3"/>
          <c:tx>
            <c:strRef>
              <c:f>'2.1 CMA'!$F$2</c:f>
              <c:strCache>
                <c:ptCount val="1"/>
                <c:pt idx="0">
                  <c:v>CMA-14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'2.1 CMA'!$B$3:$B$58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'2.1 CMA'!$F$3:$F$58</c:f>
              <c:numCache>
                <c:formatCode>General</c:formatCode>
                <c:ptCount val="56"/>
                <c:pt idx="7" formatCode="_-* #,##0_-;\-* #,##0_-;_-* &quot;-&quot;??_-;_-@_-">
                  <c:v>1620.1071428571429</c:v>
                </c:pt>
                <c:pt idx="8" formatCode="_-* #,##0_-;\-* #,##0_-;_-* &quot;-&quot;??_-;_-@_-">
                  <c:v>1612.8571428571429</c:v>
                </c:pt>
                <c:pt idx="9" formatCode="_-* #,##0_-;\-* #,##0_-;_-* &quot;-&quot;??_-;_-@_-">
                  <c:v>1595.0357142857142</c:v>
                </c:pt>
                <c:pt idx="10" formatCode="_-* #,##0_-;\-* #,##0_-;_-* &quot;-&quot;??_-;_-@_-">
                  <c:v>1610.7857142857142</c:v>
                </c:pt>
                <c:pt idx="11" formatCode="_-* #,##0_-;\-* #,##0_-;_-* &quot;-&quot;??_-;_-@_-">
                  <c:v>1620.8214285714287</c:v>
                </c:pt>
                <c:pt idx="12" formatCode="_-* #,##0_-;\-* #,##0_-;_-* &quot;-&quot;??_-;_-@_-">
                  <c:v>1608</c:v>
                </c:pt>
                <c:pt idx="13" formatCode="_-* #,##0_-;\-* #,##0_-;_-* &quot;-&quot;??_-;_-@_-">
                  <c:v>1607.5</c:v>
                </c:pt>
                <c:pt idx="14" formatCode="_-* #,##0_-;\-* #,##0_-;_-* &quot;-&quot;??_-;_-@_-">
                  <c:v>1616.6785714285713</c:v>
                </c:pt>
                <c:pt idx="15" formatCode="_-* #,##0_-;\-* #,##0_-;_-* &quot;-&quot;??_-;_-@_-">
                  <c:v>1599.2857142857142</c:v>
                </c:pt>
                <c:pt idx="16" formatCode="_-* #,##0_-;\-* #,##0_-;_-* &quot;-&quot;??_-;_-@_-">
                  <c:v>1583.4642857142858</c:v>
                </c:pt>
                <c:pt idx="17" formatCode="_-* #,##0_-;\-* #,##0_-;_-* &quot;-&quot;??_-;_-@_-">
                  <c:v>1583.8214285714287</c:v>
                </c:pt>
                <c:pt idx="18" formatCode="_-* #,##0_-;\-* #,##0_-;_-* &quot;-&quot;??_-;_-@_-">
                  <c:v>1596.0357142857142</c:v>
                </c:pt>
                <c:pt idx="19" formatCode="_-* #,##0_-;\-* #,##0_-;_-* &quot;-&quot;??_-;_-@_-">
                  <c:v>1619.3571428571429</c:v>
                </c:pt>
                <c:pt idx="20" formatCode="_-* #,##0_-;\-* #,##0_-;_-* &quot;-&quot;??_-;_-@_-">
                  <c:v>1628.9285714285713</c:v>
                </c:pt>
                <c:pt idx="21" formatCode="_-* #,##0_-;\-* #,##0_-;_-* &quot;-&quot;??_-;_-@_-">
                  <c:v>1625.4285714285713</c:v>
                </c:pt>
                <c:pt idx="22" formatCode="_-* #,##0_-;\-* #,##0_-;_-* &quot;-&quot;??_-;_-@_-">
                  <c:v>1620.8214285714287</c:v>
                </c:pt>
                <c:pt idx="23" formatCode="_-* #,##0_-;\-* #,##0_-;_-* &quot;-&quot;??_-;_-@_-">
                  <c:v>1619.8214285714287</c:v>
                </c:pt>
                <c:pt idx="24" formatCode="_-* #,##0_-;\-* #,##0_-;_-* &quot;-&quot;??_-;_-@_-">
                  <c:v>1609.7142857142858</c:v>
                </c:pt>
                <c:pt idx="25" formatCode="_-* #,##0_-;\-* #,##0_-;_-* &quot;-&quot;??_-;_-@_-">
                  <c:v>1605.7142857142858</c:v>
                </c:pt>
                <c:pt idx="26" formatCode="_-* #,##0_-;\-* #,##0_-;_-* &quot;-&quot;??_-;_-@_-">
                  <c:v>1608.7142857142858</c:v>
                </c:pt>
                <c:pt idx="27" formatCode="_-* #,##0_-;\-* #,##0_-;_-* &quot;-&quot;??_-;_-@_-">
                  <c:v>1606.6785714285713</c:v>
                </c:pt>
                <c:pt idx="28" formatCode="_-* #,##0_-;\-* #,##0_-;_-* &quot;-&quot;??_-;_-@_-">
                  <c:v>1642.3571428571429</c:v>
                </c:pt>
                <c:pt idx="29" formatCode="_-* #,##0_-;\-* #,##0_-;_-* &quot;-&quot;??_-;_-@_-">
                  <c:v>1714.3928571428571</c:v>
                </c:pt>
                <c:pt idx="30" formatCode="_-* #,##0_-;\-* #,##0_-;_-* &quot;-&quot;??_-;_-@_-">
                  <c:v>1786.7142857142858</c:v>
                </c:pt>
                <c:pt idx="31" formatCode="_-* #,##0_-;\-* #,##0_-;_-* &quot;-&quot;??_-;_-@_-">
                  <c:v>1855.5714285714287</c:v>
                </c:pt>
                <c:pt idx="32" formatCode="_-* #,##0_-;\-* #,##0_-;_-* &quot;-&quot;??_-;_-@_-">
                  <c:v>1908.1785714285713</c:v>
                </c:pt>
                <c:pt idx="33" formatCode="_-* #,##0_-;\-* #,##0_-;_-* &quot;-&quot;??_-;_-@_-">
                  <c:v>1938.6428571428571</c:v>
                </c:pt>
                <c:pt idx="34" formatCode="_-* #,##0_-;\-* #,##0_-;_-* &quot;-&quot;??_-;_-@_-">
                  <c:v>1974.6785714285713</c:v>
                </c:pt>
                <c:pt idx="35" formatCode="_-* #,##0_-;\-* #,##0_-;_-* &quot;-&quot;??_-;_-@_-">
                  <c:v>2047.1785714285713</c:v>
                </c:pt>
                <c:pt idx="36" formatCode="_-* #,##0_-;\-* #,##0_-;_-* &quot;-&quot;??_-;_-@_-">
                  <c:v>2117.25</c:v>
                </c:pt>
                <c:pt idx="37" formatCode="_-* #,##0_-;\-* #,##0_-;_-* &quot;-&quot;??_-;_-@_-">
                  <c:v>2177.25</c:v>
                </c:pt>
                <c:pt idx="38" formatCode="_-* #,##0_-;\-* #,##0_-;_-* &quot;-&quot;??_-;_-@_-">
                  <c:v>2265.6785714285716</c:v>
                </c:pt>
                <c:pt idx="39" formatCode="_-* #,##0_-;\-* #,##0_-;_-* &quot;-&quot;??_-;_-@_-">
                  <c:v>2339.0714285714284</c:v>
                </c:pt>
                <c:pt idx="40" formatCode="_-* #,##0_-;\-* #,##0_-;_-* &quot;-&quot;??_-;_-@_-">
                  <c:v>2391</c:v>
                </c:pt>
                <c:pt idx="41" formatCode="_-* #,##0_-;\-* #,##0_-;_-* &quot;-&quot;??_-;_-@_-">
                  <c:v>2432.25</c:v>
                </c:pt>
                <c:pt idx="42" formatCode="_-* #,##0_-;\-* #,##0_-;_-* &quot;-&quot;??_-;_-@_-">
                  <c:v>2443.8928571428573</c:v>
                </c:pt>
                <c:pt idx="43" formatCode="_-* #,##0_-;\-* #,##0_-;_-* &quot;-&quot;??_-;_-@_-">
                  <c:v>2438.5</c:v>
                </c:pt>
                <c:pt idx="44" formatCode="_-* #,##0_-;\-* #,##0_-;_-* &quot;-&quot;??_-;_-@_-">
                  <c:v>2431.0357142857142</c:v>
                </c:pt>
                <c:pt idx="45" formatCode="_-* #,##0_-;\-* #,##0_-;_-* &quot;-&quot;??_-;_-@_-">
                  <c:v>2414.8214285714284</c:v>
                </c:pt>
                <c:pt idx="46" formatCode="_-* #,##0_-;\-* #,##0_-;_-* &quot;-&quot;??_-;_-@_-">
                  <c:v>2422.75</c:v>
                </c:pt>
                <c:pt idx="47" formatCode="_-* #,##0_-;\-* #,##0_-;_-* &quot;-&quot;??_-;_-@_-">
                  <c:v>2447.1071428571427</c:v>
                </c:pt>
                <c:pt idx="48" formatCode="_-* #,##0_-;\-* #,##0_-;_-* &quot;-&quot;??_-;_-@_-">
                  <c:v>2443.1428571428573</c:v>
                </c:pt>
                <c:pt idx="49" formatCode="_-* #,##0_-;\-* #,##0_-;_-* &quot;-&quot;??_-;_-@_-">
                  <c:v>2326.2142857142858</c:v>
                </c:pt>
                <c:pt idx="50" formatCode="_-* #,##0_-;\-* #,##0_-;_-* &quot;-&quot;??_-;_-@_-">
                  <c:v>2129.6071428571427</c:v>
                </c:pt>
                <c:pt idx="51" formatCode="_-* #,##0_-;\-* #,##0_-;_-* &quot;-&quot;??_-;_-@_-">
                  <c:v>1939.25</c:v>
                </c:pt>
                <c:pt idx="52" formatCode="_-* #,##0_-;\-* #,##0_-;_-* &quot;-&quot;??_-;_-@_-">
                  <c:v>1719.9642857142858</c:v>
                </c:pt>
                <c:pt idx="53" formatCode="_-* #,##0_-;\-* #,##0_-;_-* &quot;-&quot;??_-;_-@_-">
                  <c:v>1526.8571428571429</c:v>
                </c:pt>
                <c:pt idx="54" formatCode="_-* #,##0_-;\-* #,##0_-;_-* &quot;-&quot;??_-;_-@_-">
                  <c:v>1384.9285714285713</c:v>
                </c:pt>
                <c:pt idx="55" formatCode="_-* #,##0_-;\-* #,##0_-;_-* &quot;-&quot;??_-;_-@_-">
                  <c:v>1271.0714285714287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1F-49E7-886A-FE9B7CE7F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2588831"/>
        <c:axId val="2082589311"/>
      </c:lineChart>
      <c:dateAx>
        <c:axId val="208258883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82589311"/>
        <c:crosses val="autoZero"/>
        <c:auto val="1"/>
        <c:lblOffset val="100"/>
        <c:baseTimeUnit val="days"/>
      </c:dateAx>
      <c:valAx>
        <c:axId val="2082589311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8258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'2.2 Removing Trend'!$D$3</c:f>
              <c:strCache>
                <c:ptCount val="1"/>
                <c:pt idx="0">
                  <c:v>CMA-7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'2.2 Removing Trend'!$B$4:$B$56</c:f>
              <c:numCache>
                <c:formatCode>d\-mmm</c:formatCode>
                <c:ptCount val="53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</c:numCache>
            </c:numRef>
          </c:cat>
          <c:val>
            <c:numRef>
              <c:f>'2.2 Removing Trend'!$D$4:$D$56</c:f>
              <c:numCache>
                <c:formatCode>General</c:formatCode>
                <c:ptCount val="53"/>
                <c:pt idx="3" formatCode="_-* #,##0_-;\-* #,##0_-;_-* &quot;-&quot;??_-;_-@_-">
                  <c:v>1577.1428571428571</c:v>
                </c:pt>
                <c:pt idx="4" formatCode="_-* #,##0_-;\-* #,##0_-;_-* &quot;-&quot;??_-;_-@_-">
                  <c:v>1620.8571428571429</c:v>
                </c:pt>
                <c:pt idx="5" formatCode="_-* #,##0_-;\-* #,##0_-;_-* &quot;-&quot;??_-;_-@_-">
                  <c:v>1621.8571428571429</c:v>
                </c:pt>
                <c:pt idx="6" formatCode="_-* #,##0_-;\-* #,##0_-;_-* &quot;-&quot;??_-;_-@_-">
                  <c:v>1637.5714285714287</c:v>
                </c:pt>
                <c:pt idx="7" formatCode="_-* #,##0_-;\-* #,##0_-;_-* &quot;-&quot;??_-;_-@_-">
                  <c:v>1674.4285714285713</c:v>
                </c:pt>
                <c:pt idx="8" formatCode="_-* #,##0_-;\-* #,##0_-;_-* &quot;-&quot;??_-;_-@_-">
                  <c:v>1647.2857142857142</c:v>
                </c:pt>
                <c:pt idx="9" formatCode="_-* #,##0_-;\-* #,##0_-;_-* &quot;-&quot;??_-;_-@_-">
                  <c:v>1612.7142857142858</c:v>
                </c:pt>
                <c:pt idx="10" formatCode="_-* #,##0_-;\-* #,##0_-;_-* &quot;-&quot;??_-;_-@_-">
                  <c:v>1639.5714285714287</c:v>
                </c:pt>
                <c:pt idx="11" formatCode="_-* #,##0_-;\-* #,##0_-;_-* &quot;-&quot;??_-;_-@_-">
                  <c:v>1642.8571428571429</c:v>
                </c:pt>
                <c:pt idx="12" formatCode="_-* #,##0_-;\-* #,##0_-;_-* &quot;-&quot;??_-;_-@_-">
                  <c:v>1565.8571428571429</c:v>
                </c:pt>
                <c:pt idx="13" formatCode="_-* #,##0_-;\-* #,##0_-;_-* &quot;-&quot;??_-;_-@_-">
                  <c:v>1554.8571428571429</c:v>
                </c:pt>
                <c:pt idx="14" formatCode="_-* #,##0_-;\-* #,##0_-;_-* &quot;-&quot;??_-;_-@_-">
                  <c:v>1576.2857142857142</c:v>
                </c:pt>
                <c:pt idx="15" formatCode="_-* #,##0_-;\-* #,##0_-;_-* &quot;-&quot;??_-;_-@_-">
                  <c:v>1585.2857142857142</c:v>
                </c:pt>
                <c:pt idx="16" formatCode="_-* #,##0_-;\-* #,##0_-;_-* &quot;-&quot;??_-;_-@_-">
                  <c:v>1586.7142857142858</c:v>
                </c:pt>
                <c:pt idx="17" formatCode="_-* #,##0_-;\-* #,##0_-;_-* &quot;-&quot;??_-;_-@_-">
                  <c:v>1591</c:v>
                </c:pt>
                <c:pt idx="18" formatCode="_-* #,##0_-;\-* #,##0_-;_-* &quot;-&quot;??_-;_-@_-">
                  <c:v>1593.2857142857142</c:v>
                </c:pt>
                <c:pt idx="19" formatCode="_-* #,##0_-;\-* #,##0_-;_-* &quot;-&quot;??_-;_-@_-">
                  <c:v>1595.1428571428571</c:v>
                </c:pt>
                <c:pt idx="20" formatCode="_-* #,##0_-;\-* #,##0_-;_-* &quot;-&quot;??_-;_-@_-">
                  <c:v>1618</c:v>
                </c:pt>
                <c:pt idx="21" formatCode="_-* #,##0_-;\-* #,##0_-;_-* &quot;-&quot;??_-;_-@_-">
                  <c:v>1586.1428571428571</c:v>
                </c:pt>
                <c:pt idx="22" formatCode="_-* #,##0_-;\-* #,##0_-;_-* &quot;-&quot;??_-;_-@_-">
                  <c:v>1636.4285714285713</c:v>
                </c:pt>
                <c:pt idx="23" formatCode="_-* #,##0_-;\-* #,##0_-;_-* &quot;-&quot;??_-;_-@_-">
                  <c:v>1669</c:v>
                </c:pt>
                <c:pt idx="24" formatCode="_-* #,##0_-;\-* #,##0_-;_-* &quot;-&quot;??_-;_-@_-">
                  <c:v>1669</c:v>
                </c:pt>
                <c:pt idx="25" formatCode="_-* #,##0_-;\-* #,##0_-;_-* &quot;-&quot;??_-;_-@_-">
                  <c:v>1648.4285714285713</c:v>
                </c:pt>
                <c:pt idx="26" formatCode="_-* #,##0_-;\-* #,##0_-;_-* &quot;-&quot;??_-;_-@_-">
                  <c:v>1646.4285714285713</c:v>
                </c:pt>
                <c:pt idx="27" formatCode="_-* #,##0_-;\-* #,##0_-;_-* &quot;-&quot;??_-;_-@_-">
                  <c:v>1619.7142857142858</c:v>
                </c:pt>
                <c:pt idx="28" formatCode="_-* #,##0_-;\-* #,##0_-;_-* &quot;-&quot;??_-;_-@_-">
                  <c:v>1615</c:v>
                </c:pt>
                <c:pt idx="29" formatCode="_-* #,##0_-;\-* #,##0_-;_-* &quot;-&quot;??_-;_-@_-">
                  <c:v>1585.2857142857142</c:v>
                </c:pt>
                <c:pt idx="30" formatCode="_-* #,##0_-;\-* #,##0_-;_-* &quot;-&quot;??_-;_-@_-">
                  <c:v>1544.1428571428571</c:v>
                </c:pt>
                <c:pt idx="31" formatCode="_-* #,##0_-;\-* #,##0_-;_-* &quot;-&quot;??_-;_-@_-">
                  <c:v>1544.5714285714287</c:v>
                </c:pt>
                <c:pt idx="32" formatCode="_-* #,##0_-;\-* #,##0_-;_-* &quot;-&quot;??_-;_-@_-">
                  <c:v>1707.4285714285713</c:v>
                </c:pt>
                <c:pt idx="33" formatCode="_-* #,##0_-;\-* #,##0_-;_-* &quot;-&quot;??_-;_-@_-">
                  <c:v>1855.2857142857142</c:v>
                </c:pt>
                <c:pt idx="34" formatCode="_-* #,##0_-;\-* #,##0_-;_-* &quot;-&quot;??_-;_-@_-">
                  <c:v>2025.4285714285713</c:v>
                </c:pt>
                <c:pt idx="35" formatCode="_-* #,##0_-;\-* #,##0_-;_-* &quot;-&quot;??_-;_-@_-">
                  <c:v>2162.1428571428573</c:v>
                </c:pt>
                <c:pt idx="36" formatCode="_-* #,##0_-;\-* #,##0_-;_-* &quot;-&quot;??_-;_-@_-">
                  <c:v>2270.2857142857142</c:v>
                </c:pt>
                <c:pt idx="37" formatCode="_-* #,##0_-;\-* #,##0_-;_-* &quot;-&quot;??_-;_-@_-">
                  <c:v>2354.8571428571427</c:v>
                </c:pt>
                <c:pt idx="38" formatCode="_-* #,##0_-;\-* #,##0_-;_-* &quot;-&quot;??_-;_-@_-">
                  <c:v>2455.1428571428573</c:v>
                </c:pt>
                <c:pt idx="39" formatCode="_-* #,##0_-;\-* #,##0_-;_-* &quot;-&quot;??_-;_-@_-">
                  <c:v>2481.5714285714284</c:v>
                </c:pt>
                <c:pt idx="40" formatCode="_-* #,##0_-;\-* #,##0_-;_-* &quot;-&quot;??_-;_-@_-">
                  <c:v>2424.7142857142858</c:v>
                </c:pt>
                <c:pt idx="41" formatCode="_-* #,##0_-;\-* #,##0_-;_-* &quot;-&quot;??_-;_-@_-">
                  <c:v>2403.5714285714284</c:v>
                </c:pt>
                <c:pt idx="42" formatCode="_-* #,##0_-;\-* #,##0_-;_-* &quot;-&quot;??_-;_-@_-">
                  <c:v>2471.5714285714284</c:v>
                </c:pt>
                <c:pt idx="43" formatCode="_-* #,##0_-;\-* #,##0_-;_-* &quot;-&quot;??_-;_-@_-">
                  <c:v>2452.2857142857142</c:v>
                </c:pt>
                <c:pt idx="44" formatCode="_-* #,##0_-;\-* #,##0_-;_-* &quot;-&quot;??_-;_-@_-">
                  <c:v>2486.5714285714284</c:v>
                </c:pt>
                <c:pt idx="45" formatCode="_-* #,##0_-;\-* #,##0_-;_-* &quot;-&quot;??_-;_-@_-">
                  <c:v>2432.4285714285716</c:v>
                </c:pt>
                <c:pt idx="46" formatCode="_-* #,##0_-;\-* #,##0_-;_-* &quot;-&quot;??_-;_-@_-">
                  <c:v>2406.4285714285716</c:v>
                </c:pt>
                <c:pt idx="47" formatCode="_-* #,##0_-;\-* #,##0_-;_-* &quot;-&quot;??_-;_-@_-">
                  <c:v>2441.2857142857142</c:v>
                </c:pt>
                <c:pt idx="48" formatCode="_-* #,##0_-;\-* #,##0_-;_-* &quot;-&quot;??_-;_-@_-">
                  <c:v>2454.5714285714284</c:v>
                </c:pt>
                <c:pt idx="49" formatCode="_-* #,##0_-;\-* #,##0_-;_-* &quot;-&quot;??_-;_-@_-">
                  <c:v>2329.5714285714284</c:v>
                </c:pt>
                <c:pt idx="50" formatCode="_-* #,##0_-;\-* #,##0_-;_-* &quot;-&quot;??_-;_-@_-">
                  <c:v>2437.5714285714284</c:v>
                </c:pt>
                <c:pt idx="51" formatCode="_-* #,##0_-;\-* #,##0_-;_-* &quot;-&quot;??_-;_-@_-">
                  <c:v>2412</c:v>
                </c:pt>
                <c:pt idx="52" formatCode="_-* #,##0_-;\-* #,##0_-;_-* &quot;-&quot;??_-;_-@_-">
                  <c:v>2441.5714285714284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4E-46F8-B34D-4DC2AF552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01344"/>
        <c:axId val="5510080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'2.2 Removing Trend'!$C$3</c15:sqref>
                        </c15:formulaRef>
                      </c:ext>
                    </c:extLst>
                    <c:strCache>
                      <c:ptCount val="1"/>
                      <c:pt idx="0">
                        <c:v>New Calls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'2.2 Removing Trend'!$B$4:$B$56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'2.2 Removing Trend'!$C$4:$C$56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3"/>
                      <c:pt idx="0">
                        <c:v>1576</c:v>
                      </c:pt>
                      <c:pt idx="1">
                        <c:v>2299</c:v>
                      </c:pt>
                      <c:pt idx="2">
                        <c:v>1878</c:v>
                      </c:pt>
                      <c:pt idx="3">
                        <c:v>1628</c:v>
                      </c:pt>
                      <c:pt idx="4">
                        <c:v>1555</c:v>
                      </c:pt>
                      <c:pt idx="5">
                        <c:v>1240</c:v>
                      </c:pt>
                      <c:pt idx="6">
                        <c:v>864</c:v>
                      </c:pt>
                      <c:pt idx="7">
                        <c:v>1882</c:v>
                      </c:pt>
                      <c:pt idx="8">
                        <c:v>2306</c:v>
                      </c:pt>
                      <c:pt idx="9">
                        <c:v>1988</c:v>
                      </c:pt>
                      <c:pt idx="10">
                        <c:v>1886</c:v>
                      </c:pt>
                      <c:pt idx="11">
                        <c:v>1365</c:v>
                      </c:pt>
                      <c:pt idx="12">
                        <c:v>998</c:v>
                      </c:pt>
                      <c:pt idx="13">
                        <c:v>1052</c:v>
                      </c:pt>
                      <c:pt idx="14">
                        <c:v>1905</c:v>
                      </c:pt>
                      <c:pt idx="15">
                        <c:v>1767</c:v>
                      </c:pt>
                      <c:pt idx="16">
                        <c:v>1911</c:v>
                      </c:pt>
                      <c:pt idx="17">
                        <c:v>2036</c:v>
                      </c:pt>
                      <c:pt idx="18">
                        <c:v>1428</c:v>
                      </c:pt>
                      <c:pt idx="19">
                        <c:v>1008</c:v>
                      </c:pt>
                      <c:pt idx="20">
                        <c:v>1082</c:v>
                      </c:pt>
                      <c:pt idx="21">
                        <c:v>1921</c:v>
                      </c:pt>
                      <c:pt idx="22">
                        <c:v>1780</c:v>
                      </c:pt>
                      <c:pt idx="23">
                        <c:v>2071</c:v>
                      </c:pt>
                      <c:pt idx="24">
                        <c:v>1813</c:v>
                      </c:pt>
                      <c:pt idx="25">
                        <c:v>1780</c:v>
                      </c:pt>
                      <c:pt idx="26">
                        <c:v>1236</c:v>
                      </c:pt>
                      <c:pt idx="27">
                        <c:v>1082</c:v>
                      </c:pt>
                      <c:pt idx="28">
                        <c:v>1777</c:v>
                      </c:pt>
                      <c:pt idx="29">
                        <c:v>1766</c:v>
                      </c:pt>
                      <c:pt idx="30">
                        <c:v>1884</c:v>
                      </c:pt>
                      <c:pt idx="31">
                        <c:v>1780</c:v>
                      </c:pt>
                      <c:pt idx="32">
                        <c:v>1572</c:v>
                      </c:pt>
                      <c:pt idx="33">
                        <c:v>948</c:v>
                      </c:pt>
                      <c:pt idx="34">
                        <c:v>1085</c:v>
                      </c:pt>
                      <c:pt idx="35">
                        <c:v>2917</c:v>
                      </c:pt>
                      <c:pt idx="36">
                        <c:v>2801</c:v>
                      </c:pt>
                      <c:pt idx="37">
                        <c:v>3075</c:v>
                      </c:pt>
                      <c:pt idx="38">
                        <c:v>2737</c:v>
                      </c:pt>
                      <c:pt idx="39">
                        <c:v>2329</c:v>
                      </c:pt>
                      <c:pt idx="40">
                        <c:v>1540</c:v>
                      </c:pt>
                      <c:pt idx="41">
                        <c:v>1787</c:v>
                      </c:pt>
                      <c:pt idx="42">
                        <c:v>3102</c:v>
                      </c:pt>
                      <c:pt idx="43">
                        <c:v>2403</c:v>
                      </c:pt>
                      <c:pt idx="44">
                        <c:v>2927</c:v>
                      </c:pt>
                      <c:pt idx="45">
                        <c:v>3213</c:v>
                      </c:pt>
                      <c:pt idx="46">
                        <c:v>2194</c:v>
                      </c:pt>
                      <c:pt idx="47">
                        <c:v>1780</c:v>
                      </c:pt>
                      <c:pt idx="48">
                        <c:v>1408</c:v>
                      </c:pt>
                      <c:pt idx="49">
                        <c:v>2920</c:v>
                      </c:pt>
                      <c:pt idx="50">
                        <c:v>2647</c:v>
                      </c:pt>
                      <c:pt idx="51">
                        <c:v>3020</c:v>
                      </c:pt>
                      <c:pt idx="52">
                        <c:v>2338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64E-46F8-B34D-4DC2AF552A2B}"/>
                  </c:ext>
                </c:extLst>
              </c15:ser>
            </c15:filteredLineSeries>
          </c:ext>
        </c:extLst>
      </c:lineChart>
      <c:dateAx>
        <c:axId val="551001344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51008064"/>
        <c:crosses val="autoZero"/>
        <c:auto val="1"/>
        <c:lblOffset val="100"/>
        <c:baseTimeUnit val="days"/>
      </c:dateAx>
      <c:valAx>
        <c:axId val="55100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5100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28401137357830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'2.2 Removing Trend'!$E$3</c:f>
              <c:strCache>
                <c:ptCount val="1"/>
                <c:pt idx="0">
                  <c:v>Detrended Time Series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'2.2 Removing Trend'!$B$4:$B$59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'2.2 Removing Trend'!$E$4:$E$59</c:f>
              <c:numCache>
                <c:formatCode>0.00</c:formatCode>
                <c:ptCount val="56"/>
                <c:pt idx="3">
                  <c:v>50.85714285714289</c:v>
                </c:pt>
                <c:pt idx="4">
                  <c:v>-65.85714285714289</c:v>
                </c:pt>
                <c:pt idx="5">
                  <c:v>-381.85714285714289</c:v>
                </c:pt>
                <c:pt idx="6">
                  <c:v>-773.57142857142867</c:v>
                </c:pt>
                <c:pt idx="7">
                  <c:v>207.57142857142867</c:v>
                </c:pt>
                <c:pt idx="8">
                  <c:v>658.71428571428578</c:v>
                </c:pt>
                <c:pt idx="9">
                  <c:v>375.28571428571422</c:v>
                </c:pt>
                <c:pt idx="10">
                  <c:v>246.42857142857133</c:v>
                </c:pt>
                <c:pt idx="11">
                  <c:v>-277.85714285714289</c:v>
                </c:pt>
                <c:pt idx="12">
                  <c:v>-567.85714285714289</c:v>
                </c:pt>
                <c:pt idx="13">
                  <c:v>-502.85714285714289</c:v>
                </c:pt>
                <c:pt idx="14">
                  <c:v>328.71428571428578</c:v>
                </c:pt>
                <c:pt idx="15">
                  <c:v>181.71428571428578</c:v>
                </c:pt>
                <c:pt idx="16">
                  <c:v>324.28571428571422</c:v>
                </c:pt>
                <c:pt idx="17">
                  <c:v>445</c:v>
                </c:pt>
                <c:pt idx="18">
                  <c:v>-165.28571428571422</c:v>
                </c:pt>
                <c:pt idx="19">
                  <c:v>-587.14285714285711</c:v>
                </c:pt>
                <c:pt idx="20">
                  <c:v>-536</c:v>
                </c:pt>
                <c:pt idx="21">
                  <c:v>334.85714285714289</c:v>
                </c:pt>
                <c:pt idx="22">
                  <c:v>143.57142857142867</c:v>
                </c:pt>
                <c:pt idx="23">
                  <c:v>402</c:v>
                </c:pt>
                <c:pt idx="24">
                  <c:v>144</c:v>
                </c:pt>
                <c:pt idx="25">
                  <c:v>131.57142857142867</c:v>
                </c:pt>
                <c:pt idx="26">
                  <c:v>-410.42857142857133</c:v>
                </c:pt>
                <c:pt idx="27">
                  <c:v>-537.71428571428578</c:v>
                </c:pt>
                <c:pt idx="28">
                  <c:v>162</c:v>
                </c:pt>
                <c:pt idx="29">
                  <c:v>180.71428571428578</c:v>
                </c:pt>
                <c:pt idx="30">
                  <c:v>339.85714285714289</c:v>
                </c:pt>
                <c:pt idx="31">
                  <c:v>235.42857142857133</c:v>
                </c:pt>
                <c:pt idx="32">
                  <c:v>-135.42857142857133</c:v>
                </c:pt>
                <c:pt idx="33">
                  <c:v>-907.28571428571422</c:v>
                </c:pt>
                <c:pt idx="34">
                  <c:v>-940.42857142857133</c:v>
                </c:pt>
                <c:pt idx="35">
                  <c:v>754.85714285714266</c:v>
                </c:pt>
                <c:pt idx="36">
                  <c:v>530.71428571428578</c:v>
                </c:pt>
                <c:pt idx="37">
                  <c:v>720.14285714285734</c:v>
                </c:pt>
                <c:pt idx="38">
                  <c:v>281.85714285714266</c:v>
                </c:pt>
                <c:pt idx="39">
                  <c:v>-152.57142857142844</c:v>
                </c:pt>
                <c:pt idx="40">
                  <c:v>-884.71428571428578</c:v>
                </c:pt>
                <c:pt idx="41">
                  <c:v>-616.57142857142844</c:v>
                </c:pt>
                <c:pt idx="42">
                  <c:v>630.42857142857156</c:v>
                </c:pt>
                <c:pt idx="43">
                  <c:v>-49.285714285714221</c:v>
                </c:pt>
                <c:pt idx="44">
                  <c:v>440.42857142857156</c:v>
                </c:pt>
                <c:pt idx="45">
                  <c:v>780.57142857142844</c:v>
                </c:pt>
                <c:pt idx="46">
                  <c:v>-212.42857142857156</c:v>
                </c:pt>
                <c:pt idx="47">
                  <c:v>-661.28571428571422</c:v>
                </c:pt>
                <c:pt idx="48">
                  <c:v>-1046.5714285714284</c:v>
                </c:pt>
                <c:pt idx="49">
                  <c:v>590.42857142857156</c:v>
                </c:pt>
                <c:pt idx="50">
                  <c:v>209.42857142857156</c:v>
                </c:pt>
                <c:pt idx="51">
                  <c:v>608</c:v>
                </c:pt>
                <c:pt idx="52">
                  <c:v>-103.57142857142844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B4-46E6-AAF1-40C0C594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201391"/>
        <c:axId val="14802028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'2.2 Removing Trend'!$C$3</c15:sqref>
                        </c15:formulaRef>
                      </c:ext>
                    </c:extLst>
                    <c:strCache>
                      <c:ptCount val="1"/>
                      <c:pt idx="0">
                        <c:v>New Calls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'2.2 Removing Trend'!$B$4:$B$59</c15:sqref>
                        </c15:formulaRef>
                      </c:ext>
                    </c:extLst>
                    <c:numCache>
                      <c:formatCode>d\-mmm</c:formatCode>
                      <c:ptCount val="56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  <c:pt idx="53">
                        <c:v>45100</c:v>
                      </c:pt>
                      <c:pt idx="54">
                        <c:v>45101</c:v>
                      </c:pt>
                      <c:pt idx="55">
                        <c:v>45102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'2.2 Removing Trend'!$C$4:$C$59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6"/>
                      <c:pt idx="0">
                        <c:v>1576</c:v>
                      </c:pt>
                      <c:pt idx="1">
                        <c:v>2299</c:v>
                      </c:pt>
                      <c:pt idx="2">
                        <c:v>1878</c:v>
                      </c:pt>
                      <c:pt idx="3">
                        <c:v>1628</c:v>
                      </c:pt>
                      <c:pt idx="4">
                        <c:v>1555</c:v>
                      </c:pt>
                      <c:pt idx="5">
                        <c:v>1240</c:v>
                      </c:pt>
                      <c:pt idx="6">
                        <c:v>864</c:v>
                      </c:pt>
                      <c:pt idx="7">
                        <c:v>1882</c:v>
                      </c:pt>
                      <c:pt idx="8">
                        <c:v>2306</c:v>
                      </c:pt>
                      <c:pt idx="9">
                        <c:v>1988</c:v>
                      </c:pt>
                      <c:pt idx="10">
                        <c:v>1886</c:v>
                      </c:pt>
                      <c:pt idx="11">
                        <c:v>1365</c:v>
                      </c:pt>
                      <c:pt idx="12">
                        <c:v>998</c:v>
                      </c:pt>
                      <c:pt idx="13">
                        <c:v>1052</c:v>
                      </c:pt>
                      <c:pt idx="14">
                        <c:v>1905</c:v>
                      </c:pt>
                      <c:pt idx="15">
                        <c:v>1767</c:v>
                      </c:pt>
                      <c:pt idx="16">
                        <c:v>1911</c:v>
                      </c:pt>
                      <c:pt idx="17">
                        <c:v>2036</c:v>
                      </c:pt>
                      <c:pt idx="18">
                        <c:v>1428</c:v>
                      </c:pt>
                      <c:pt idx="19">
                        <c:v>1008</c:v>
                      </c:pt>
                      <c:pt idx="20">
                        <c:v>1082</c:v>
                      </c:pt>
                      <c:pt idx="21">
                        <c:v>1921</c:v>
                      </c:pt>
                      <c:pt idx="22">
                        <c:v>1780</c:v>
                      </c:pt>
                      <c:pt idx="23">
                        <c:v>2071</c:v>
                      </c:pt>
                      <c:pt idx="24">
                        <c:v>1813</c:v>
                      </c:pt>
                      <c:pt idx="25">
                        <c:v>1780</c:v>
                      </c:pt>
                      <c:pt idx="26">
                        <c:v>1236</c:v>
                      </c:pt>
                      <c:pt idx="27">
                        <c:v>1082</c:v>
                      </c:pt>
                      <c:pt idx="28">
                        <c:v>1777</c:v>
                      </c:pt>
                      <c:pt idx="29">
                        <c:v>1766</c:v>
                      </c:pt>
                      <c:pt idx="30">
                        <c:v>1884</c:v>
                      </c:pt>
                      <c:pt idx="31">
                        <c:v>1780</c:v>
                      </c:pt>
                      <c:pt idx="32">
                        <c:v>1572</c:v>
                      </c:pt>
                      <c:pt idx="33">
                        <c:v>948</c:v>
                      </c:pt>
                      <c:pt idx="34">
                        <c:v>1085</c:v>
                      </c:pt>
                      <c:pt idx="35">
                        <c:v>2917</c:v>
                      </c:pt>
                      <c:pt idx="36">
                        <c:v>2801</c:v>
                      </c:pt>
                      <c:pt idx="37">
                        <c:v>3075</c:v>
                      </c:pt>
                      <c:pt idx="38">
                        <c:v>2737</c:v>
                      </c:pt>
                      <c:pt idx="39">
                        <c:v>2329</c:v>
                      </c:pt>
                      <c:pt idx="40">
                        <c:v>1540</c:v>
                      </c:pt>
                      <c:pt idx="41">
                        <c:v>1787</c:v>
                      </c:pt>
                      <c:pt idx="42">
                        <c:v>3102</c:v>
                      </c:pt>
                      <c:pt idx="43">
                        <c:v>2403</c:v>
                      </c:pt>
                      <c:pt idx="44">
                        <c:v>2927</c:v>
                      </c:pt>
                      <c:pt idx="45">
                        <c:v>3213</c:v>
                      </c:pt>
                      <c:pt idx="46">
                        <c:v>2194</c:v>
                      </c:pt>
                      <c:pt idx="47">
                        <c:v>1780</c:v>
                      </c:pt>
                      <c:pt idx="48">
                        <c:v>1408</c:v>
                      </c:pt>
                      <c:pt idx="49">
                        <c:v>2920</c:v>
                      </c:pt>
                      <c:pt idx="50">
                        <c:v>2647</c:v>
                      </c:pt>
                      <c:pt idx="51">
                        <c:v>3020</c:v>
                      </c:pt>
                      <c:pt idx="52">
                        <c:v>2338</c:v>
                      </c:pt>
                      <c:pt idx="53">
                        <c:v>2950</c:v>
                      </c:pt>
                      <c:pt idx="54">
                        <c:v>1601</c:v>
                      </c:pt>
                      <c:pt idx="55">
                        <c:v>1615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3B4-46E6-AAF1-40C0C594602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'2.2 Removing Trend'!$D$3</c15:sqref>
                        </c15:formulaRef>
                      </c:ext>
                    </c:extLst>
                    <c:strCache>
                      <c:ptCount val="1"/>
                      <c:pt idx="0">
                        <c:v>CMA-7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'2.2 Removing Trend'!$B$4:$B$59</c15:sqref>
                        </c15:formulaRef>
                      </c:ext>
                    </c:extLst>
                    <c:numCache>
                      <c:formatCode>d\-mmm</c:formatCode>
                      <c:ptCount val="56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  <c:pt idx="53">
                        <c:v>45100</c:v>
                      </c:pt>
                      <c:pt idx="54">
                        <c:v>45101</c:v>
                      </c:pt>
                      <c:pt idx="55">
                        <c:v>45102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'2.2 Removing Trend'!$D$4:$D$59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3" formatCode="_-* #,##0_-;\-* #,##0_-;_-* &quot;-&quot;??_-;_-@_-">
                        <c:v>1577.1428571428571</c:v>
                      </c:pt>
                      <c:pt idx="4" formatCode="_-* #,##0_-;\-* #,##0_-;_-* &quot;-&quot;??_-;_-@_-">
                        <c:v>1620.8571428571429</c:v>
                      </c:pt>
                      <c:pt idx="5" formatCode="_-* #,##0_-;\-* #,##0_-;_-* &quot;-&quot;??_-;_-@_-">
                        <c:v>1621.8571428571429</c:v>
                      </c:pt>
                      <c:pt idx="6" formatCode="_-* #,##0_-;\-* #,##0_-;_-* &quot;-&quot;??_-;_-@_-">
                        <c:v>1637.5714285714287</c:v>
                      </c:pt>
                      <c:pt idx="7" formatCode="_-* #,##0_-;\-* #,##0_-;_-* &quot;-&quot;??_-;_-@_-">
                        <c:v>1674.4285714285713</c:v>
                      </c:pt>
                      <c:pt idx="8" formatCode="_-* #,##0_-;\-* #,##0_-;_-* &quot;-&quot;??_-;_-@_-">
                        <c:v>1647.2857142857142</c:v>
                      </c:pt>
                      <c:pt idx="9" formatCode="_-* #,##0_-;\-* #,##0_-;_-* &quot;-&quot;??_-;_-@_-">
                        <c:v>1612.7142857142858</c:v>
                      </c:pt>
                      <c:pt idx="10" formatCode="_-* #,##0_-;\-* #,##0_-;_-* &quot;-&quot;??_-;_-@_-">
                        <c:v>1639.5714285714287</c:v>
                      </c:pt>
                      <c:pt idx="11" formatCode="_-* #,##0_-;\-* #,##0_-;_-* &quot;-&quot;??_-;_-@_-">
                        <c:v>1642.8571428571429</c:v>
                      </c:pt>
                      <c:pt idx="12" formatCode="_-* #,##0_-;\-* #,##0_-;_-* &quot;-&quot;??_-;_-@_-">
                        <c:v>1565.8571428571429</c:v>
                      </c:pt>
                      <c:pt idx="13" formatCode="_-* #,##0_-;\-* #,##0_-;_-* &quot;-&quot;??_-;_-@_-">
                        <c:v>1554.8571428571429</c:v>
                      </c:pt>
                      <c:pt idx="14" formatCode="_-* #,##0_-;\-* #,##0_-;_-* &quot;-&quot;??_-;_-@_-">
                        <c:v>1576.2857142857142</c:v>
                      </c:pt>
                      <c:pt idx="15" formatCode="_-* #,##0_-;\-* #,##0_-;_-* &quot;-&quot;??_-;_-@_-">
                        <c:v>1585.2857142857142</c:v>
                      </c:pt>
                      <c:pt idx="16" formatCode="_-* #,##0_-;\-* #,##0_-;_-* &quot;-&quot;??_-;_-@_-">
                        <c:v>1586.7142857142858</c:v>
                      </c:pt>
                      <c:pt idx="17" formatCode="_-* #,##0_-;\-* #,##0_-;_-* &quot;-&quot;??_-;_-@_-">
                        <c:v>1591</c:v>
                      </c:pt>
                      <c:pt idx="18" formatCode="_-* #,##0_-;\-* #,##0_-;_-* &quot;-&quot;??_-;_-@_-">
                        <c:v>1593.2857142857142</c:v>
                      </c:pt>
                      <c:pt idx="19" formatCode="_-* #,##0_-;\-* #,##0_-;_-* &quot;-&quot;??_-;_-@_-">
                        <c:v>1595.1428571428571</c:v>
                      </c:pt>
                      <c:pt idx="20" formatCode="_-* #,##0_-;\-* #,##0_-;_-* &quot;-&quot;??_-;_-@_-">
                        <c:v>1618</c:v>
                      </c:pt>
                      <c:pt idx="21" formatCode="_-* #,##0_-;\-* #,##0_-;_-* &quot;-&quot;??_-;_-@_-">
                        <c:v>1586.1428571428571</c:v>
                      </c:pt>
                      <c:pt idx="22" formatCode="_-* #,##0_-;\-* #,##0_-;_-* &quot;-&quot;??_-;_-@_-">
                        <c:v>1636.4285714285713</c:v>
                      </c:pt>
                      <c:pt idx="23" formatCode="_-* #,##0_-;\-* #,##0_-;_-* &quot;-&quot;??_-;_-@_-">
                        <c:v>1669</c:v>
                      </c:pt>
                      <c:pt idx="24" formatCode="_-* #,##0_-;\-* #,##0_-;_-* &quot;-&quot;??_-;_-@_-">
                        <c:v>1669</c:v>
                      </c:pt>
                      <c:pt idx="25" formatCode="_-* #,##0_-;\-* #,##0_-;_-* &quot;-&quot;??_-;_-@_-">
                        <c:v>1648.4285714285713</c:v>
                      </c:pt>
                      <c:pt idx="26" formatCode="_-* #,##0_-;\-* #,##0_-;_-* &quot;-&quot;??_-;_-@_-">
                        <c:v>1646.4285714285713</c:v>
                      </c:pt>
                      <c:pt idx="27" formatCode="_-* #,##0_-;\-* #,##0_-;_-* &quot;-&quot;??_-;_-@_-">
                        <c:v>1619.7142857142858</c:v>
                      </c:pt>
                      <c:pt idx="28" formatCode="_-* #,##0_-;\-* #,##0_-;_-* &quot;-&quot;??_-;_-@_-">
                        <c:v>1615</c:v>
                      </c:pt>
                      <c:pt idx="29" formatCode="_-* #,##0_-;\-* #,##0_-;_-* &quot;-&quot;??_-;_-@_-">
                        <c:v>1585.2857142857142</c:v>
                      </c:pt>
                      <c:pt idx="30" formatCode="_-* #,##0_-;\-* #,##0_-;_-* &quot;-&quot;??_-;_-@_-">
                        <c:v>1544.1428571428571</c:v>
                      </c:pt>
                      <c:pt idx="31" formatCode="_-* #,##0_-;\-* #,##0_-;_-* &quot;-&quot;??_-;_-@_-">
                        <c:v>1544.5714285714287</c:v>
                      </c:pt>
                      <c:pt idx="32" formatCode="_-* #,##0_-;\-* #,##0_-;_-* &quot;-&quot;??_-;_-@_-">
                        <c:v>1707.4285714285713</c:v>
                      </c:pt>
                      <c:pt idx="33" formatCode="_-* #,##0_-;\-* #,##0_-;_-* &quot;-&quot;??_-;_-@_-">
                        <c:v>1855.2857142857142</c:v>
                      </c:pt>
                      <c:pt idx="34" formatCode="_-* #,##0_-;\-* #,##0_-;_-* &quot;-&quot;??_-;_-@_-">
                        <c:v>2025.4285714285713</c:v>
                      </c:pt>
                      <c:pt idx="35" formatCode="_-* #,##0_-;\-* #,##0_-;_-* &quot;-&quot;??_-;_-@_-">
                        <c:v>2162.1428571428573</c:v>
                      </c:pt>
                      <c:pt idx="36" formatCode="_-* #,##0_-;\-* #,##0_-;_-* &quot;-&quot;??_-;_-@_-">
                        <c:v>2270.2857142857142</c:v>
                      </c:pt>
                      <c:pt idx="37" formatCode="_-* #,##0_-;\-* #,##0_-;_-* &quot;-&quot;??_-;_-@_-">
                        <c:v>2354.8571428571427</c:v>
                      </c:pt>
                      <c:pt idx="38" formatCode="_-* #,##0_-;\-* #,##0_-;_-* &quot;-&quot;??_-;_-@_-">
                        <c:v>2455.1428571428573</c:v>
                      </c:pt>
                      <c:pt idx="39" formatCode="_-* #,##0_-;\-* #,##0_-;_-* &quot;-&quot;??_-;_-@_-">
                        <c:v>2481.5714285714284</c:v>
                      </c:pt>
                      <c:pt idx="40" formatCode="_-* #,##0_-;\-* #,##0_-;_-* &quot;-&quot;??_-;_-@_-">
                        <c:v>2424.7142857142858</c:v>
                      </c:pt>
                      <c:pt idx="41" formatCode="_-* #,##0_-;\-* #,##0_-;_-* &quot;-&quot;??_-;_-@_-">
                        <c:v>2403.5714285714284</c:v>
                      </c:pt>
                      <c:pt idx="42" formatCode="_-* #,##0_-;\-* #,##0_-;_-* &quot;-&quot;??_-;_-@_-">
                        <c:v>2471.5714285714284</c:v>
                      </c:pt>
                      <c:pt idx="43" formatCode="_-* #,##0_-;\-* #,##0_-;_-* &quot;-&quot;??_-;_-@_-">
                        <c:v>2452.2857142857142</c:v>
                      </c:pt>
                      <c:pt idx="44" formatCode="_-* #,##0_-;\-* #,##0_-;_-* &quot;-&quot;??_-;_-@_-">
                        <c:v>2486.5714285714284</c:v>
                      </c:pt>
                      <c:pt idx="45" formatCode="_-* #,##0_-;\-* #,##0_-;_-* &quot;-&quot;??_-;_-@_-">
                        <c:v>2432.4285714285716</c:v>
                      </c:pt>
                      <c:pt idx="46" formatCode="_-* #,##0_-;\-* #,##0_-;_-* &quot;-&quot;??_-;_-@_-">
                        <c:v>2406.4285714285716</c:v>
                      </c:pt>
                      <c:pt idx="47" formatCode="_-* #,##0_-;\-* #,##0_-;_-* &quot;-&quot;??_-;_-@_-">
                        <c:v>2441.2857142857142</c:v>
                      </c:pt>
                      <c:pt idx="48" formatCode="_-* #,##0_-;\-* #,##0_-;_-* &quot;-&quot;??_-;_-@_-">
                        <c:v>2454.5714285714284</c:v>
                      </c:pt>
                      <c:pt idx="49" formatCode="_-* #,##0_-;\-* #,##0_-;_-* &quot;-&quot;??_-;_-@_-">
                        <c:v>2329.5714285714284</c:v>
                      </c:pt>
                      <c:pt idx="50" formatCode="_-* #,##0_-;\-* #,##0_-;_-* &quot;-&quot;??_-;_-@_-">
                        <c:v>2437.5714285714284</c:v>
                      </c:pt>
                      <c:pt idx="51" formatCode="_-* #,##0_-;\-* #,##0_-;_-* &quot;-&quot;??_-;_-@_-">
                        <c:v>2412</c:v>
                      </c:pt>
                      <c:pt idx="52" formatCode="_-* #,##0_-;\-* #,##0_-;_-* &quot;-&quot;??_-;_-@_-">
                        <c:v>2441.5714285714284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3B4-46E6-AAF1-40C0C5946025}"/>
                  </c:ext>
                </c:extLst>
              </c15:ser>
            </c15:filteredLineSeries>
          </c:ext>
        </c:extLst>
      </c:lineChart>
      <c:dateAx>
        <c:axId val="148020139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80202831"/>
        <c:crosses val="autoZero"/>
        <c:auto val="1"/>
        <c:lblOffset val="100"/>
        <c:baseTimeUnit val="days"/>
      </c:dateAx>
      <c:valAx>
        <c:axId val="148020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8020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Seasonality</a:t>
            </a:r>
            <a:r>
              <a:rPr lang="en-US" b="1" baseline="0"/>
              <a:t> identification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34492563429572"/>
          <c:y val="0.16245370370370371"/>
          <c:w val="0.86987729658792656"/>
          <c:h val="0.60027668416447943"/>
        </c:manualLayout>
      </c:layout>
      <c:lineChart>
        <c:grouping val="standard"/>
        <c:varyColors val="0"/>
        <c:ser>
          <c:idx val="0"/>
          <c:order val="0"/>
          <c:tx>
            <c:strRef>
              <c:f>'2.3 Identify Seasonality'!$K$5</c:f>
              <c:strCache>
                <c:ptCount val="1"/>
                <c:pt idx="0">
                  <c:v>Week-1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'2.3 Identify Seasonality'!$J$6:$J$12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'2.3 Identify Seasonality'!$K$6:$K$12</c:f>
              <c:numCache>
                <c:formatCode>General</c:formatCode>
                <c:ptCount val="7"/>
                <c:pt idx="3" formatCode="0.00">
                  <c:v>50.85714285714289</c:v>
                </c:pt>
                <c:pt idx="4" formatCode="0.00">
                  <c:v>-65.85714285714289</c:v>
                </c:pt>
                <c:pt idx="5" formatCode="0.00">
                  <c:v>-381.85714285714289</c:v>
                </c:pt>
                <c:pt idx="6" formatCode="0.00">
                  <c:v>-773.57142857142867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E3-44D8-98B4-050D8A242A33}"/>
            </c:ext>
          </c:extLst>
        </c:ser>
        <c:ser>
          <c:idx val="1"/>
          <c:order val="1"/>
          <c:tx>
            <c:strRef>
              <c:f>'2.3 Identify Seasonality'!$L$5</c:f>
              <c:strCache>
                <c:ptCount val="1"/>
                <c:pt idx="0">
                  <c:v>Week-2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'2.3 Identify Seasonality'!$J$6:$J$12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'2.3 Identify Seasonality'!$L$6:$L$12</c:f>
              <c:numCache>
                <c:formatCode>0.00</c:formatCode>
                <c:ptCount val="7"/>
                <c:pt idx="0">
                  <c:v>207.57142857142867</c:v>
                </c:pt>
                <c:pt idx="1">
                  <c:v>658.71428571428578</c:v>
                </c:pt>
                <c:pt idx="2">
                  <c:v>375.28571428571422</c:v>
                </c:pt>
                <c:pt idx="3">
                  <c:v>246.42857142857133</c:v>
                </c:pt>
                <c:pt idx="4">
                  <c:v>-277.85714285714289</c:v>
                </c:pt>
                <c:pt idx="5">
                  <c:v>-567.85714285714289</c:v>
                </c:pt>
                <c:pt idx="6">
                  <c:v>-502.85714285714289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E3-44D8-98B4-050D8A242A33}"/>
            </c:ext>
          </c:extLst>
        </c:ser>
        <c:ser>
          <c:idx val="2"/>
          <c:order val="2"/>
          <c:tx>
            <c:strRef>
              <c:f>'2.3 Identify Seasonality'!$M$5</c:f>
              <c:strCache>
                <c:ptCount val="1"/>
                <c:pt idx="0">
                  <c:v>Week-3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'2.3 Identify Seasonality'!$J$6:$J$12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'2.3 Identify Seasonality'!$M$6:$M$12</c:f>
              <c:numCache>
                <c:formatCode>0.00</c:formatCode>
                <c:ptCount val="7"/>
                <c:pt idx="0">
                  <c:v>328.71428571428578</c:v>
                </c:pt>
                <c:pt idx="1">
                  <c:v>181.71428571428578</c:v>
                </c:pt>
                <c:pt idx="2">
                  <c:v>324.28571428571422</c:v>
                </c:pt>
                <c:pt idx="3">
                  <c:v>445</c:v>
                </c:pt>
                <c:pt idx="4">
                  <c:v>-165.28571428571422</c:v>
                </c:pt>
                <c:pt idx="5">
                  <c:v>-587.14285714285711</c:v>
                </c:pt>
                <c:pt idx="6">
                  <c:v>-536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E3-44D8-98B4-050D8A242A33}"/>
            </c:ext>
          </c:extLst>
        </c:ser>
        <c:ser>
          <c:idx val="3"/>
          <c:order val="3"/>
          <c:tx>
            <c:strRef>
              <c:f>'2.3 Identify Seasonality'!$N$5</c:f>
              <c:strCache>
                <c:ptCount val="1"/>
                <c:pt idx="0">
                  <c:v>Week-4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'2.3 Identify Seasonality'!$J$6:$J$12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'2.3 Identify Seasonality'!$N$6:$N$12</c:f>
              <c:numCache>
                <c:formatCode>0.00</c:formatCode>
                <c:ptCount val="7"/>
                <c:pt idx="0">
                  <c:v>334.85714285714289</c:v>
                </c:pt>
                <c:pt idx="1">
                  <c:v>143.57142857142867</c:v>
                </c:pt>
                <c:pt idx="2">
                  <c:v>402</c:v>
                </c:pt>
                <c:pt idx="3">
                  <c:v>144</c:v>
                </c:pt>
                <c:pt idx="4">
                  <c:v>131.57142857142867</c:v>
                </c:pt>
                <c:pt idx="5">
                  <c:v>-410.42857142857133</c:v>
                </c:pt>
                <c:pt idx="6">
                  <c:v>-537.71428571428578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E3-44D8-98B4-050D8A242A33}"/>
            </c:ext>
          </c:extLst>
        </c:ser>
        <c:ser>
          <c:idx val="4"/>
          <c:order val="4"/>
          <c:tx>
            <c:strRef>
              <c:f>'2.3 Identify Seasonality'!$O$5</c:f>
              <c:strCache>
                <c:ptCount val="1"/>
                <c:pt idx="0">
                  <c:v>Week-5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'2.3 Identify Seasonality'!$J$6:$J$12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'2.3 Identify Seasonality'!$O$6:$O$12</c:f>
              <c:numCache>
                <c:formatCode>0.00</c:formatCode>
                <c:ptCount val="7"/>
                <c:pt idx="0">
                  <c:v>162</c:v>
                </c:pt>
                <c:pt idx="1">
                  <c:v>180.71428571428578</c:v>
                </c:pt>
                <c:pt idx="2">
                  <c:v>339.85714285714289</c:v>
                </c:pt>
                <c:pt idx="3">
                  <c:v>235.42857142857133</c:v>
                </c:pt>
                <c:pt idx="4">
                  <c:v>-135.42857142857133</c:v>
                </c:pt>
                <c:pt idx="5">
                  <c:v>-907.28571428571422</c:v>
                </c:pt>
                <c:pt idx="6">
                  <c:v>-940.42857142857133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E3-44D8-98B4-050D8A242A33}"/>
            </c:ext>
          </c:extLst>
        </c:ser>
        <c:ser>
          <c:idx val="5"/>
          <c:order val="5"/>
          <c:tx>
            <c:strRef>
              <c:f>'2.3 Identify Seasonality'!$P$5</c:f>
              <c:strCache>
                <c:ptCount val="1"/>
                <c:pt idx="0">
                  <c:v>Week-6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'2.3 Identify Seasonality'!$J$6:$J$12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'2.3 Identify Seasonality'!$P$6:$P$12</c:f>
              <c:numCache>
                <c:formatCode>0.00</c:formatCode>
                <c:ptCount val="7"/>
                <c:pt idx="0">
                  <c:v>754.85714285714266</c:v>
                </c:pt>
                <c:pt idx="1">
                  <c:v>530.71428571428578</c:v>
                </c:pt>
                <c:pt idx="2">
                  <c:v>720.14285714285734</c:v>
                </c:pt>
                <c:pt idx="3">
                  <c:v>281.85714285714266</c:v>
                </c:pt>
                <c:pt idx="4">
                  <c:v>-152.57142857142844</c:v>
                </c:pt>
                <c:pt idx="5">
                  <c:v>-884.71428571428578</c:v>
                </c:pt>
                <c:pt idx="6">
                  <c:v>-616.57142857142844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E3-44D8-98B4-050D8A242A33}"/>
            </c:ext>
          </c:extLst>
        </c:ser>
        <c:ser>
          <c:idx val="6"/>
          <c:order val="6"/>
          <c:tx>
            <c:strRef>
              <c:f>'2.3 Identify Seasonality'!$Q$5</c:f>
              <c:strCache>
                <c:ptCount val="1"/>
                <c:pt idx="0">
                  <c:v>Week-7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'2.3 Identify Seasonality'!$J$6:$J$12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'2.3 Identify Seasonality'!$Q$6:$Q$12</c:f>
              <c:numCache>
                <c:formatCode>0.00</c:formatCode>
                <c:ptCount val="7"/>
                <c:pt idx="0">
                  <c:v>630.42857142857156</c:v>
                </c:pt>
                <c:pt idx="1">
                  <c:v>-49.285714285714221</c:v>
                </c:pt>
                <c:pt idx="2">
                  <c:v>440.42857142857156</c:v>
                </c:pt>
                <c:pt idx="3">
                  <c:v>780.57142857142844</c:v>
                </c:pt>
                <c:pt idx="4">
                  <c:v>-212.42857142857156</c:v>
                </c:pt>
                <c:pt idx="5">
                  <c:v>-661.28571428571422</c:v>
                </c:pt>
                <c:pt idx="6">
                  <c:v>-1046.5714285714284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E3-44D8-98B4-050D8A242A33}"/>
            </c:ext>
          </c:extLst>
        </c:ser>
        <c:ser>
          <c:idx val="7"/>
          <c:order val="7"/>
          <c:tx>
            <c:strRef>
              <c:f>'2.3 Identify Seasonality'!$R$5</c:f>
              <c:strCache>
                <c:ptCount val="1"/>
                <c:pt idx="0">
                  <c:v>Week-8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'2.3 Identify Seasonality'!$J$6:$J$12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'2.3 Identify Seasonality'!$R$6:$R$12</c:f>
              <c:numCache>
                <c:formatCode>0.00</c:formatCode>
                <c:ptCount val="7"/>
                <c:pt idx="0">
                  <c:v>590.42857142857156</c:v>
                </c:pt>
                <c:pt idx="1">
                  <c:v>209.42857142857156</c:v>
                </c:pt>
                <c:pt idx="2">
                  <c:v>608</c:v>
                </c:pt>
                <c:pt idx="3">
                  <c:v>-103.57142857142844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7E3-44D8-98B4-050D8A242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620367"/>
        <c:axId val="1093621327"/>
      </c:lineChart>
      <c:dateAx>
        <c:axId val="1093620367"/>
        <c:scaling>
          <c:orientation val="minMax"/>
        </c:scaling>
        <c:delete val="0"/>
        <c:axPos val="b"/>
        <c:numFmt formatCode="dd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93621327"/>
        <c:crosses val="autoZero"/>
        <c:auto val="1"/>
        <c:lblOffset val="100"/>
        <c:baseTimeUnit val="days"/>
      </c:dateAx>
      <c:valAx>
        <c:axId val="109362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9362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Seasonal</a:t>
            </a:r>
            <a:r>
              <a:rPr lang="en-US" b="1" baseline="0"/>
              <a:t> Profile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40906502253255E-2"/>
          <c:y val="0.10326180257510731"/>
          <c:w val="0.90793204947258954"/>
          <c:h val="0.70467709776621268"/>
        </c:manualLayout>
      </c:layout>
      <c:lineChart>
        <c:grouping val="standard"/>
        <c:varyColors val="0"/>
        <c:ser>
          <c:idx val="0"/>
          <c:order val="0"/>
          <c:tx>
            <c:strRef>
              <c:f>'2.4 Estimated Seasonal Pattern'!$D$4</c:f>
              <c:strCache>
                <c:ptCount val="1"/>
                <c:pt idx="0">
                  <c:v>Week-1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'2.4 Estimated Seasonal Pattern'!$C$5:$C$11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'2.4 Estimated Seasonal Pattern'!$D$5:$D$11</c:f>
              <c:numCache>
                <c:formatCode>General</c:formatCode>
                <c:ptCount val="7"/>
                <c:pt idx="3" formatCode="0.00">
                  <c:v>50.85714285714289</c:v>
                </c:pt>
                <c:pt idx="4">
                  <c:v>-65.85714285714289</c:v>
                </c:pt>
                <c:pt idx="5">
                  <c:v>-381.85714285714289</c:v>
                </c:pt>
                <c:pt idx="6">
                  <c:v>-773.57142857142867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E2-4D57-A91B-83B1F9AAAF71}"/>
            </c:ext>
          </c:extLst>
        </c:ser>
        <c:ser>
          <c:idx val="1"/>
          <c:order val="1"/>
          <c:tx>
            <c:strRef>
              <c:f>'2.4 Estimated Seasonal Pattern'!$E$4</c:f>
              <c:strCache>
                <c:ptCount val="1"/>
                <c:pt idx="0">
                  <c:v>Week-2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'2.4 Estimated Seasonal Pattern'!$C$5:$C$11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'2.4 Estimated Seasonal Pattern'!$E$5:$E$11</c:f>
              <c:numCache>
                <c:formatCode>General</c:formatCode>
                <c:ptCount val="7"/>
                <c:pt idx="0" formatCode="0.00">
                  <c:v>207.57142857142867</c:v>
                </c:pt>
                <c:pt idx="1">
                  <c:v>658.71428571428578</c:v>
                </c:pt>
                <c:pt idx="2">
                  <c:v>375.28571428571422</c:v>
                </c:pt>
                <c:pt idx="3">
                  <c:v>246.42857142857133</c:v>
                </c:pt>
                <c:pt idx="4">
                  <c:v>-277.85714285714289</c:v>
                </c:pt>
                <c:pt idx="5">
                  <c:v>-567.85714285714289</c:v>
                </c:pt>
                <c:pt idx="6">
                  <c:v>-502.85714285714289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E2-4D57-A91B-83B1F9AAAF71}"/>
            </c:ext>
          </c:extLst>
        </c:ser>
        <c:ser>
          <c:idx val="2"/>
          <c:order val="2"/>
          <c:tx>
            <c:strRef>
              <c:f>'2.4 Estimated Seasonal Pattern'!$F$4</c:f>
              <c:strCache>
                <c:ptCount val="1"/>
                <c:pt idx="0">
                  <c:v>Week-3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'2.4 Estimated Seasonal Pattern'!$C$5:$C$11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'2.4 Estimated Seasonal Pattern'!$F$5:$F$11</c:f>
              <c:numCache>
                <c:formatCode>General</c:formatCode>
                <c:ptCount val="7"/>
                <c:pt idx="0">
                  <c:v>328.71428571428578</c:v>
                </c:pt>
                <c:pt idx="1">
                  <c:v>181.71428571428578</c:v>
                </c:pt>
                <c:pt idx="2">
                  <c:v>324.28571428571422</c:v>
                </c:pt>
                <c:pt idx="3">
                  <c:v>445</c:v>
                </c:pt>
                <c:pt idx="4">
                  <c:v>-165.28571428571422</c:v>
                </c:pt>
                <c:pt idx="5">
                  <c:v>-587.14285714285711</c:v>
                </c:pt>
                <c:pt idx="6">
                  <c:v>-536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E2-4D57-A91B-83B1F9AAAF71}"/>
            </c:ext>
          </c:extLst>
        </c:ser>
        <c:ser>
          <c:idx val="3"/>
          <c:order val="3"/>
          <c:tx>
            <c:strRef>
              <c:f>'2.4 Estimated Seasonal Pattern'!$G$4</c:f>
              <c:strCache>
                <c:ptCount val="1"/>
                <c:pt idx="0">
                  <c:v>Week-4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'2.4 Estimated Seasonal Pattern'!$C$5:$C$11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'2.4 Estimated Seasonal Pattern'!$G$5:$G$11</c:f>
              <c:numCache>
                <c:formatCode>General</c:formatCode>
                <c:ptCount val="7"/>
                <c:pt idx="0">
                  <c:v>334.85714285714289</c:v>
                </c:pt>
                <c:pt idx="1">
                  <c:v>143.57142857142867</c:v>
                </c:pt>
                <c:pt idx="2">
                  <c:v>402</c:v>
                </c:pt>
                <c:pt idx="3">
                  <c:v>144</c:v>
                </c:pt>
                <c:pt idx="4">
                  <c:v>131.57142857142867</c:v>
                </c:pt>
                <c:pt idx="5">
                  <c:v>-410.42857142857133</c:v>
                </c:pt>
                <c:pt idx="6">
                  <c:v>-537.71428571428578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E2-4D57-A91B-83B1F9AAAF71}"/>
            </c:ext>
          </c:extLst>
        </c:ser>
        <c:ser>
          <c:idx val="4"/>
          <c:order val="4"/>
          <c:tx>
            <c:strRef>
              <c:f>'2.4 Estimated Seasonal Pattern'!$H$4</c:f>
              <c:strCache>
                <c:ptCount val="1"/>
                <c:pt idx="0">
                  <c:v>Week-5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'2.4 Estimated Seasonal Pattern'!$C$5:$C$11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'2.4 Estimated Seasonal Pattern'!$H$5:$H$11</c:f>
              <c:numCache>
                <c:formatCode>General</c:formatCode>
                <c:ptCount val="7"/>
                <c:pt idx="0">
                  <c:v>162</c:v>
                </c:pt>
                <c:pt idx="1">
                  <c:v>180.71428571428578</c:v>
                </c:pt>
                <c:pt idx="2">
                  <c:v>339.85714285714289</c:v>
                </c:pt>
                <c:pt idx="3">
                  <c:v>235.42857142857133</c:v>
                </c:pt>
                <c:pt idx="4">
                  <c:v>-135.42857142857133</c:v>
                </c:pt>
                <c:pt idx="5">
                  <c:v>-907.28571428571422</c:v>
                </c:pt>
                <c:pt idx="6">
                  <c:v>-940.42857142857133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E2-4D57-A91B-83B1F9AAAF71}"/>
            </c:ext>
          </c:extLst>
        </c:ser>
        <c:ser>
          <c:idx val="5"/>
          <c:order val="5"/>
          <c:tx>
            <c:strRef>
              <c:f>'2.4 Estimated Seasonal Pattern'!$I$4</c:f>
              <c:strCache>
                <c:ptCount val="1"/>
                <c:pt idx="0">
                  <c:v>Week-6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'2.4 Estimated Seasonal Pattern'!$C$5:$C$11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'2.4 Estimated Seasonal Pattern'!$I$5:$I$11</c:f>
              <c:numCache>
                <c:formatCode>General</c:formatCode>
                <c:ptCount val="7"/>
                <c:pt idx="0">
                  <c:v>754.85714285714266</c:v>
                </c:pt>
                <c:pt idx="1">
                  <c:v>530.71428571428578</c:v>
                </c:pt>
                <c:pt idx="2">
                  <c:v>720.14285714285734</c:v>
                </c:pt>
                <c:pt idx="3">
                  <c:v>281.85714285714266</c:v>
                </c:pt>
                <c:pt idx="4">
                  <c:v>-152.57142857142844</c:v>
                </c:pt>
                <c:pt idx="5">
                  <c:v>-884.71428571428578</c:v>
                </c:pt>
                <c:pt idx="6">
                  <c:v>-616.57142857142844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E2-4D57-A91B-83B1F9AAAF71}"/>
            </c:ext>
          </c:extLst>
        </c:ser>
        <c:ser>
          <c:idx val="6"/>
          <c:order val="6"/>
          <c:tx>
            <c:strRef>
              <c:f>'2.4 Estimated Seasonal Pattern'!$J$4</c:f>
              <c:strCache>
                <c:ptCount val="1"/>
                <c:pt idx="0">
                  <c:v>Week-7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'2.4 Estimated Seasonal Pattern'!$C$5:$C$11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'2.4 Estimated Seasonal Pattern'!$J$5:$J$11</c:f>
              <c:numCache>
                <c:formatCode>General</c:formatCode>
                <c:ptCount val="7"/>
                <c:pt idx="0">
                  <c:v>630.42857142857156</c:v>
                </c:pt>
                <c:pt idx="1">
                  <c:v>-49.285714285714221</c:v>
                </c:pt>
                <c:pt idx="2">
                  <c:v>440.42857142857156</c:v>
                </c:pt>
                <c:pt idx="3">
                  <c:v>780.57142857142844</c:v>
                </c:pt>
                <c:pt idx="4">
                  <c:v>-212.42857142857156</c:v>
                </c:pt>
                <c:pt idx="5">
                  <c:v>-661.28571428571422</c:v>
                </c:pt>
                <c:pt idx="6">
                  <c:v>-1046.5714285714284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E2-4D57-A91B-83B1F9AAAF71}"/>
            </c:ext>
          </c:extLst>
        </c:ser>
        <c:ser>
          <c:idx val="7"/>
          <c:order val="7"/>
          <c:tx>
            <c:strRef>
              <c:f>'2.4 Estimated Seasonal Pattern'!$K$4</c:f>
              <c:strCache>
                <c:ptCount val="1"/>
                <c:pt idx="0">
                  <c:v>Week-8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'2.4 Estimated Seasonal Pattern'!$C$5:$C$11</c:f>
              <c:numCache>
                <c:formatCode>dddd</c:formatCode>
                <c:ptCount val="7"/>
                <c:pt idx="0">
                  <c:v>45061</c:v>
                </c:pt>
                <c:pt idx="1">
                  <c:v>45062</c:v>
                </c:pt>
                <c:pt idx="2">
                  <c:v>45063</c:v>
                </c:pt>
                <c:pt idx="3">
                  <c:v>45064</c:v>
                </c:pt>
                <c:pt idx="4">
                  <c:v>45065</c:v>
                </c:pt>
                <c:pt idx="5">
                  <c:v>45066</c:v>
                </c:pt>
                <c:pt idx="6">
                  <c:v>45067</c:v>
                </c:pt>
              </c:numCache>
            </c:numRef>
          </c:cat>
          <c:val>
            <c:numRef>
              <c:f>'2.4 Estimated Seasonal Pattern'!$K$5:$K$11</c:f>
              <c:numCache>
                <c:formatCode>General</c:formatCode>
                <c:ptCount val="7"/>
                <c:pt idx="0" formatCode="0.00">
                  <c:v>590.42857142857156</c:v>
                </c:pt>
                <c:pt idx="1">
                  <c:v>209.42857142857156</c:v>
                </c:pt>
                <c:pt idx="2">
                  <c:v>608</c:v>
                </c:pt>
                <c:pt idx="3">
                  <c:v>-103.57142857142844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E2-4D57-A91B-83B1F9AAAF71}"/>
            </c:ext>
          </c:extLst>
        </c:ser>
        <c:ser>
          <c:idx val="8"/>
          <c:order val="8"/>
          <c:tx>
            <c:strRef>
              <c:f>'2.4 Estimated Seasonal Pattern'!$O$4</c:f>
              <c:strCache>
                <c:ptCount val="1"/>
                <c:pt idx="0">
                  <c:v>Median Seasonal Profile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'2.4 Estimated Seasonal Pattern'!$O$5:$O$11</c:f>
              <c:numCache>
                <c:formatCode>General</c:formatCode>
                <c:ptCount val="7"/>
                <c:pt idx="0" formatCode="0.00">
                  <c:v>429.83673469387759</c:v>
                </c:pt>
                <c:pt idx="1">
                  <c:v>265.08163265306132</c:v>
                </c:pt>
                <c:pt idx="2">
                  <c:v>458.57142857142856</c:v>
                </c:pt>
                <c:pt idx="3" formatCode="0.00">
                  <c:v>260.07142857142856</c:v>
                </c:pt>
                <c:pt idx="4" formatCode="0.00">
                  <c:v>-125.4081632653061</c:v>
                </c:pt>
                <c:pt idx="5">
                  <c:v>-628.65306122448976</c:v>
                </c:pt>
                <c:pt idx="6" formatCode="0.00">
                  <c:v>-707.67346938775506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E2-4D57-A91B-83B1F9AAA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095727"/>
        <c:axId val="2112090927"/>
      </c:lineChart>
      <c:dateAx>
        <c:axId val="2112095727"/>
        <c:scaling>
          <c:orientation val="minMax"/>
        </c:scaling>
        <c:delete val="0"/>
        <c:axPos val="b"/>
        <c:numFmt formatCode="dd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12090927"/>
        <c:crosses val="autoZero"/>
        <c:auto val="1"/>
        <c:lblOffset val="100"/>
        <c:baseTimeUnit val="days"/>
      </c:dateAx>
      <c:valAx>
        <c:axId val="21120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12095727"/>
        <c:crosses val="autoZero"/>
        <c:crossBetween val="between"/>
      </c:valAx>
      <c:spPr>
        <a:noFill/>
        <a:ln>
          <a:noFill/>
          <a:prstDash val="sysDot"/>
        </a:ln>
        <a:effectLst/>
      </c:spPr>
    </c:plotArea>
    <c:legend>
      <c:legendPos val="b"/>
      <c:layout>
        <c:manualLayout>
          <c:xMode val="edge"/>
          <c:yMode val="edge"/>
          <c:x val="0.1578559092259694"/>
          <c:y val="0.70779583882486796"/>
          <c:w val="0.73883338735200477"/>
          <c:h val="0.14055895373593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9.5233814523184593E-2"/>
          <c:y val="0.13702537182852143"/>
          <c:w val="0.88254396325459317"/>
          <c:h val="0.77736111111111106"/>
        </c:manualLayout>
      </c:layout>
      <c:lineChart>
        <c:grouping val="standard"/>
        <c:varyColors val="0"/>
        <c:ser>
          <c:idx val="4"/>
          <c:order val="4"/>
          <c:tx>
            <c:strRef>
              <c:f>'2.5 Noise'!$G$3</c:f>
              <c:strCache>
                <c:ptCount val="1"/>
                <c:pt idx="0">
                  <c:v>Noise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28575">
                <a:noFill/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5"/>
                </a:solidFill>
                <a:ln w="2857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  <a:tailEnd w="sm" len="lg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DE-44EF-9BA0-AAD5C8890838}"/>
              </c:ext>
            </c:extLst>
          </c:dPt>
          <c:cat>
            <c:numRef>
              <c:f>'2.5 Noise'!$B$4:$B$59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'2.5 Noise'!$G$4:$G$59</c:f>
              <c:numCache>
                <c:formatCode>General</c:formatCode>
                <c:ptCount val="56"/>
                <c:pt idx="3" formatCode="_(* #,##0.00_);_(* \(#,##0.00\);_(* &quot;-&quot;??_);_(@_)">
                  <c:v>-209.21428571428578</c:v>
                </c:pt>
                <c:pt idx="4" formatCode="_(* #,##0.00_);_(* \(#,##0.00\);_(* &quot;-&quot;??_);_(@_)">
                  <c:v>59.55102040816314</c:v>
                </c:pt>
                <c:pt idx="5" formatCode="_(* #,##0.00_);_(* \(#,##0.00\);_(* &quot;-&quot;??_);_(@_)">
                  <c:v>246.79591836734687</c:v>
                </c:pt>
                <c:pt idx="6" formatCode="_(* #,##0.00_);_(* \(#,##0.00\);_(* &quot;-&quot;??_);_(@_)">
                  <c:v>-65.897959183673606</c:v>
                </c:pt>
                <c:pt idx="7" formatCode="_(* #,##0.00_);_(* \(#,##0.00\);_(* &quot;-&quot;??_);_(@_)">
                  <c:v>-222.26530612244915</c:v>
                </c:pt>
                <c:pt idx="8" formatCode="_(* #,##0.00_);_(* \(#,##0.00\);_(* &quot;-&quot;??_);_(@_)">
                  <c:v>393.63265306122457</c:v>
                </c:pt>
                <c:pt idx="9" formatCode="_(* #,##0.00_);_(* \(#,##0.00\);_(* &quot;-&quot;??_);_(@_)">
                  <c:v>-83.285714285714221</c:v>
                </c:pt>
                <c:pt idx="10" formatCode="_(* #,##0.00_);_(* \(#,##0.00\);_(* &quot;-&quot;??_);_(@_)">
                  <c:v>-13.642857142857338</c:v>
                </c:pt>
                <c:pt idx="11" formatCode="_(* #,##0.00_);_(* \(#,##0.00\);_(* &quot;-&quot;??_);_(@_)">
                  <c:v>-152.44897959183686</c:v>
                </c:pt>
                <c:pt idx="12" formatCode="_(* #,##0.00_);_(* \(#,##0.00\);_(* &quot;-&quot;??_);_(@_)">
                  <c:v>60.795918367346871</c:v>
                </c:pt>
                <c:pt idx="13" formatCode="_(* #,##0.00_);_(* \(#,##0.00\);_(* &quot;-&quot;??_);_(@_)">
                  <c:v>204.81632653061217</c:v>
                </c:pt>
                <c:pt idx="14" formatCode="_(* #,##0.00_);_(* \(#,##0.00\);_(* &quot;-&quot;??_);_(@_)">
                  <c:v>-101.12244897959181</c:v>
                </c:pt>
                <c:pt idx="15" formatCode="_(* #,##0.00_);_(* \(#,##0.00\);_(* &quot;-&quot;??_);_(@_)">
                  <c:v>-83.367346938775427</c:v>
                </c:pt>
                <c:pt idx="16" formatCode="_(* #,##0.00_);_(* \(#,##0.00\);_(* &quot;-&quot;??_);_(@_)">
                  <c:v>-134.28571428571422</c:v>
                </c:pt>
                <c:pt idx="17" formatCode="_(* #,##0.00_);_(* \(#,##0.00\);_(* &quot;-&quot;??_);_(@_)">
                  <c:v>184.92857142857156</c:v>
                </c:pt>
                <c:pt idx="18" formatCode="_(* #,##0.00_);_(* \(#,##0.00\);_(* &quot;-&quot;??_);_(@_)">
                  <c:v>-39.877551020408191</c:v>
                </c:pt>
                <c:pt idx="19" formatCode="_(* #,##0.00_);_(* \(#,##0.00\);_(* &quot;-&quot;??_);_(@_)">
                  <c:v>41.510204081632651</c:v>
                </c:pt>
                <c:pt idx="20" formatCode="_(* #,##0.00_);_(* \(#,##0.00\);_(* &quot;-&quot;??_);_(@_)">
                  <c:v>171.67346938775506</c:v>
                </c:pt>
                <c:pt idx="21" formatCode="_(* #,##0.00_);_(* \(#,##0.00\);_(* &quot;-&quot;??_);_(@_)">
                  <c:v>-94.979591836734699</c:v>
                </c:pt>
                <c:pt idx="22" formatCode="_(* #,##0.00_);_(* \(#,##0.00\);_(* &quot;-&quot;??_);_(@_)">
                  <c:v>-121.51020408163276</c:v>
                </c:pt>
                <c:pt idx="23" formatCode="_(* #,##0.00_);_(* \(#,##0.00\);_(* &quot;-&quot;??_);_(@_)">
                  <c:v>-56.571428571428442</c:v>
                </c:pt>
                <c:pt idx="24" formatCode="_(* #,##0.00_);_(* \(#,##0.00\);_(* &quot;-&quot;??_);_(@_)">
                  <c:v>-116.07142857142844</c:v>
                </c:pt>
                <c:pt idx="25" formatCode="_(* #,##0.00_);_(* \(#,##0.00\);_(* &quot;-&quot;??_);_(@_)">
                  <c:v>256.9795918367347</c:v>
                </c:pt>
                <c:pt idx="26" formatCode="_(* #,##0.00_);_(* \(#,##0.00\);_(* &quot;-&quot;??_);_(@_)">
                  <c:v>218.22448979591843</c:v>
                </c:pt>
                <c:pt idx="27" formatCode="_(* #,##0.00_);_(* \(#,##0.00\);_(* &quot;-&quot;??_);_(@_)">
                  <c:v>169.95918367346928</c:v>
                </c:pt>
                <c:pt idx="28" formatCode="_(* #,##0.00_);_(* \(#,##0.00\);_(* &quot;-&quot;??_);_(@_)">
                  <c:v>-267.83673469387759</c:v>
                </c:pt>
                <c:pt idx="29" formatCode="_(* #,##0.00_);_(* \(#,##0.00\);_(* &quot;-&quot;??_);_(@_)">
                  <c:v>-84.367346938775427</c:v>
                </c:pt>
                <c:pt idx="30" formatCode="_(* #,##0.00_);_(* \(#,##0.00\);_(* &quot;-&quot;??_);_(@_)">
                  <c:v>-118.71428571428578</c:v>
                </c:pt>
                <c:pt idx="31" formatCode="_(* #,##0.00_);_(* \(#,##0.00\);_(* &quot;-&quot;??_);_(@_)">
                  <c:v>-24.642857142857338</c:v>
                </c:pt>
                <c:pt idx="32" formatCode="_(* #,##0.00_);_(* \(#,##0.00\);_(* &quot;-&quot;??_);_(@_)">
                  <c:v>-10.020408163265301</c:v>
                </c:pt>
                <c:pt idx="33" formatCode="_(* #,##0.00_);_(* \(#,##0.00\);_(* &quot;-&quot;??_);_(@_)">
                  <c:v>-278.63265306122457</c:v>
                </c:pt>
                <c:pt idx="34" formatCode="_(* #,##0.00_);_(* \(#,##0.00\);_(* &quot;-&quot;??_);_(@_)">
                  <c:v>-232.75510204081638</c:v>
                </c:pt>
                <c:pt idx="35" formatCode="_(* #,##0.00_);_(* \(#,##0.00\);_(* &quot;-&quot;??_);_(@_)">
                  <c:v>325.02040816326507</c:v>
                </c:pt>
                <c:pt idx="36" formatCode="_(* #,##0.00_);_(* \(#,##0.00\);_(* &quot;-&quot;??_);_(@_)">
                  <c:v>265.63265306122457</c:v>
                </c:pt>
                <c:pt idx="37" formatCode="_(* #,##0.00_);_(* \(#,##0.00\);_(* &quot;-&quot;??_);_(@_)">
                  <c:v>261.5714285714289</c:v>
                </c:pt>
                <c:pt idx="38" formatCode="_(* #,##0.00_);_(* \(#,##0.00\);_(* &quot;-&quot;??_);_(@_)">
                  <c:v>21.785714285714221</c:v>
                </c:pt>
                <c:pt idx="39" formatCode="_(* #,##0.00_);_(* \(#,##0.00\);_(* &quot;-&quot;??_);_(@_)">
                  <c:v>-27.163265306122412</c:v>
                </c:pt>
                <c:pt idx="40" formatCode="_(* #,##0.00_);_(* \(#,##0.00\);_(* &quot;-&quot;??_);_(@_)">
                  <c:v>-256.06122448979613</c:v>
                </c:pt>
                <c:pt idx="41" formatCode="_(* #,##0.00_);_(* \(#,##0.00\);_(* &quot;-&quot;??_);_(@_)">
                  <c:v>91.102040816326735</c:v>
                </c:pt>
                <c:pt idx="42" formatCode="_(* #,##0.00_);_(* \(#,##0.00\);_(* &quot;-&quot;??_);_(@_)">
                  <c:v>200.59183673469397</c:v>
                </c:pt>
                <c:pt idx="43" formatCode="_(* #,##0.00_);_(* \(#,##0.00\);_(* &quot;-&quot;??_);_(@_)">
                  <c:v>-314.36734693877543</c:v>
                </c:pt>
                <c:pt idx="44" formatCode="_(* #,##0.00_);_(* \(#,##0.00\);_(* &quot;-&quot;??_);_(@_)">
                  <c:v>-18.142857142856883</c:v>
                </c:pt>
                <c:pt idx="45" formatCode="_(* #,##0.00_);_(* \(#,##0.00\);_(* &quot;-&quot;??_);_(@_)">
                  <c:v>520.5</c:v>
                </c:pt>
                <c:pt idx="46" formatCode="_(* #,##0.00_);_(* \(#,##0.00\);_(* &quot;-&quot;??_);_(@_)">
                  <c:v>-87.020408163265529</c:v>
                </c:pt>
                <c:pt idx="47" formatCode="_(* #,##0.00_);_(* \(#,##0.00\);_(* &quot;-&quot;??_);_(@_)">
                  <c:v>-32.632653061224573</c:v>
                </c:pt>
                <c:pt idx="48" formatCode="_(* #,##0.00_);_(* \(#,##0.00\);_(* &quot;-&quot;??_);_(@_)">
                  <c:v>-338.89795918367327</c:v>
                </c:pt>
                <c:pt idx="49" formatCode="_(* #,##0.00_);_(* \(#,##0.00\);_(* &quot;-&quot;??_);_(@_)">
                  <c:v>160.59183673469397</c:v>
                </c:pt>
                <c:pt idx="50" formatCode="_(* #,##0.00_);_(* \(#,##0.00\);_(* &quot;-&quot;??_);_(@_)">
                  <c:v>-55.653061224489647</c:v>
                </c:pt>
                <c:pt idx="51" formatCode="_(* #,##0.00_);_(* \(#,##0.00\);_(* &quot;-&quot;??_);_(@_)">
                  <c:v>149.42857142857156</c:v>
                </c:pt>
                <c:pt idx="52" formatCode="_(* #,##0.00_);_(* \(#,##0.00\);_(* &quot;-&quot;??_);_(@_)">
                  <c:v>-363.64285714285688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DE-44EF-9BA0-AAD5C8890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1141551"/>
        <c:axId val="1779325183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'2.5 Noise'!$C$3</c15:sqref>
                        </c15:formulaRef>
                      </c:ext>
                    </c:extLst>
                    <c:strCache>
                      <c:ptCount val="1"/>
                      <c:pt idx="0">
                        <c:v>New Calls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28575">
                      <a:noFill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'2.5 Noise'!$B$4:$B$59</c15:sqref>
                        </c15:formulaRef>
                      </c:ext>
                    </c:extLst>
                    <c:numCache>
                      <c:formatCode>d\-mmm</c:formatCode>
                      <c:ptCount val="56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  <c:pt idx="53">
                        <c:v>45100</c:v>
                      </c:pt>
                      <c:pt idx="54">
                        <c:v>45101</c:v>
                      </c:pt>
                      <c:pt idx="55">
                        <c:v>45102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'2.5 Noise'!$C$4:$C$59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6"/>
                      <c:pt idx="0">
                        <c:v>1576</c:v>
                      </c:pt>
                      <c:pt idx="1">
                        <c:v>2299</c:v>
                      </c:pt>
                      <c:pt idx="2">
                        <c:v>1878</c:v>
                      </c:pt>
                      <c:pt idx="3">
                        <c:v>1628</c:v>
                      </c:pt>
                      <c:pt idx="4">
                        <c:v>1555</c:v>
                      </c:pt>
                      <c:pt idx="5">
                        <c:v>1240</c:v>
                      </c:pt>
                      <c:pt idx="6">
                        <c:v>864</c:v>
                      </c:pt>
                      <c:pt idx="7">
                        <c:v>1882</c:v>
                      </c:pt>
                      <c:pt idx="8">
                        <c:v>2306</c:v>
                      </c:pt>
                      <c:pt idx="9">
                        <c:v>1988</c:v>
                      </c:pt>
                      <c:pt idx="10">
                        <c:v>1886</c:v>
                      </c:pt>
                      <c:pt idx="11">
                        <c:v>1365</c:v>
                      </c:pt>
                      <c:pt idx="12">
                        <c:v>998</c:v>
                      </c:pt>
                      <c:pt idx="13">
                        <c:v>1052</c:v>
                      </c:pt>
                      <c:pt idx="14">
                        <c:v>1905</c:v>
                      </c:pt>
                      <c:pt idx="15">
                        <c:v>1767</c:v>
                      </c:pt>
                      <c:pt idx="16">
                        <c:v>1911</c:v>
                      </c:pt>
                      <c:pt idx="17">
                        <c:v>2036</c:v>
                      </c:pt>
                      <c:pt idx="18">
                        <c:v>1428</c:v>
                      </c:pt>
                      <c:pt idx="19">
                        <c:v>1008</c:v>
                      </c:pt>
                      <c:pt idx="20">
                        <c:v>1082</c:v>
                      </c:pt>
                      <c:pt idx="21">
                        <c:v>1921</c:v>
                      </c:pt>
                      <c:pt idx="22">
                        <c:v>1780</c:v>
                      </c:pt>
                      <c:pt idx="23">
                        <c:v>2071</c:v>
                      </c:pt>
                      <c:pt idx="24">
                        <c:v>1813</c:v>
                      </c:pt>
                      <c:pt idx="25">
                        <c:v>1780</c:v>
                      </c:pt>
                      <c:pt idx="26">
                        <c:v>1236</c:v>
                      </c:pt>
                      <c:pt idx="27">
                        <c:v>1082</c:v>
                      </c:pt>
                      <c:pt idx="28">
                        <c:v>1777</c:v>
                      </c:pt>
                      <c:pt idx="29">
                        <c:v>1766</c:v>
                      </c:pt>
                      <c:pt idx="30">
                        <c:v>1884</c:v>
                      </c:pt>
                      <c:pt idx="31">
                        <c:v>1780</c:v>
                      </c:pt>
                      <c:pt idx="32">
                        <c:v>1572</c:v>
                      </c:pt>
                      <c:pt idx="33">
                        <c:v>948</c:v>
                      </c:pt>
                      <c:pt idx="34">
                        <c:v>1085</c:v>
                      </c:pt>
                      <c:pt idx="35">
                        <c:v>2917</c:v>
                      </c:pt>
                      <c:pt idx="36">
                        <c:v>2801</c:v>
                      </c:pt>
                      <c:pt idx="37">
                        <c:v>3075</c:v>
                      </c:pt>
                      <c:pt idx="38">
                        <c:v>2737</c:v>
                      </c:pt>
                      <c:pt idx="39">
                        <c:v>2329</c:v>
                      </c:pt>
                      <c:pt idx="40">
                        <c:v>1540</c:v>
                      </c:pt>
                      <c:pt idx="41">
                        <c:v>1787</c:v>
                      </c:pt>
                      <c:pt idx="42">
                        <c:v>3102</c:v>
                      </c:pt>
                      <c:pt idx="43">
                        <c:v>2403</c:v>
                      </c:pt>
                      <c:pt idx="44">
                        <c:v>2927</c:v>
                      </c:pt>
                      <c:pt idx="45">
                        <c:v>3213</c:v>
                      </c:pt>
                      <c:pt idx="46">
                        <c:v>2194</c:v>
                      </c:pt>
                      <c:pt idx="47">
                        <c:v>1780</c:v>
                      </c:pt>
                      <c:pt idx="48">
                        <c:v>1408</c:v>
                      </c:pt>
                      <c:pt idx="49">
                        <c:v>2920</c:v>
                      </c:pt>
                      <c:pt idx="50">
                        <c:v>2647</c:v>
                      </c:pt>
                      <c:pt idx="51">
                        <c:v>3020</c:v>
                      </c:pt>
                      <c:pt idx="52">
                        <c:v>2338</c:v>
                      </c:pt>
                      <c:pt idx="53">
                        <c:v>2950</c:v>
                      </c:pt>
                      <c:pt idx="54">
                        <c:v>1601</c:v>
                      </c:pt>
                      <c:pt idx="55">
                        <c:v>1615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DE-44EF-9BA0-AAD5C8890838}"/>
                  </c:ext>
                </c:extLst>
              </c15:ser>
            </c15:filteredLineSeries>
            <c15:filteredLine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Noise'!$D$3</c15:sqref>
                        </c15:formulaRef>
                      </c:ext>
                    </c:extLst>
                    <c:strCache>
                      <c:ptCount val="1"/>
                      <c:pt idx="0">
                        <c:v>CMA-7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Noise'!$B$4:$B$59</c15:sqref>
                        </c15:formulaRef>
                      </c:ext>
                    </c:extLst>
                    <c:numCache>
                      <c:formatCode>d\-mmm</c:formatCode>
                      <c:ptCount val="56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  <c:pt idx="53">
                        <c:v>45100</c:v>
                      </c:pt>
                      <c:pt idx="54">
                        <c:v>45101</c:v>
                      </c:pt>
                      <c:pt idx="55">
                        <c:v>45102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Noise'!$D$4:$D$59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3" formatCode="0.00">
                        <c:v>1577.1428571428571</c:v>
                      </c:pt>
                      <c:pt idx="4" formatCode="0.00">
                        <c:v>1620.8571428571429</c:v>
                      </c:pt>
                      <c:pt idx="5" formatCode="0.00">
                        <c:v>1621.8571428571429</c:v>
                      </c:pt>
                      <c:pt idx="6" formatCode="0.00">
                        <c:v>1637.5714285714287</c:v>
                      </c:pt>
                      <c:pt idx="7" formatCode="0.00">
                        <c:v>1674.4285714285713</c:v>
                      </c:pt>
                      <c:pt idx="8" formatCode="0.00">
                        <c:v>1647.2857142857142</c:v>
                      </c:pt>
                      <c:pt idx="9" formatCode="0.00">
                        <c:v>1612.7142857142858</c:v>
                      </c:pt>
                      <c:pt idx="10" formatCode="0.00">
                        <c:v>1639.5714285714287</c:v>
                      </c:pt>
                      <c:pt idx="11" formatCode="0.00">
                        <c:v>1642.8571428571429</c:v>
                      </c:pt>
                      <c:pt idx="12" formatCode="0.00">
                        <c:v>1565.8571428571429</c:v>
                      </c:pt>
                      <c:pt idx="13" formatCode="0.00">
                        <c:v>1554.8571428571429</c:v>
                      </c:pt>
                      <c:pt idx="14" formatCode="0.00">
                        <c:v>1576.2857142857142</c:v>
                      </c:pt>
                      <c:pt idx="15" formatCode="0.00">
                        <c:v>1585.2857142857142</c:v>
                      </c:pt>
                      <c:pt idx="16" formatCode="0.00">
                        <c:v>1586.7142857142858</c:v>
                      </c:pt>
                      <c:pt idx="17" formatCode="0.00">
                        <c:v>1591</c:v>
                      </c:pt>
                      <c:pt idx="18" formatCode="0.00">
                        <c:v>1593.2857142857142</c:v>
                      </c:pt>
                      <c:pt idx="19" formatCode="0.00">
                        <c:v>1595.1428571428571</c:v>
                      </c:pt>
                      <c:pt idx="20" formatCode="0.00">
                        <c:v>1618</c:v>
                      </c:pt>
                      <c:pt idx="21" formatCode="0.00">
                        <c:v>1586.1428571428571</c:v>
                      </c:pt>
                      <c:pt idx="22" formatCode="0.00">
                        <c:v>1636.4285714285713</c:v>
                      </c:pt>
                      <c:pt idx="23" formatCode="0.00">
                        <c:v>1669</c:v>
                      </c:pt>
                      <c:pt idx="24" formatCode="0.00">
                        <c:v>1669</c:v>
                      </c:pt>
                      <c:pt idx="25" formatCode="0.00">
                        <c:v>1648.4285714285713</c:v>
                      </c:pt>
                      <c:pt idx="26" formatCode="0.00">
                        <c:v>1646.4285714285713</c:v>
                      </c:pt>
                      <c:pt idx="27" formatCode="0.00">
                        <c:v>1619.7142857142858</c:v>
                      </c:pt>
                      <c:pt idx="28" formatCode="0.00">
                        <c:v>1615</c:v>
                      </c:pt>
                      <c:pt idx="29" formatCode="0.00">
                        <c:v>1585.2857142857142</c:v>
                      </c:pt>
                      <c:pt idx="30" formatCode="0.00">
                        <c:v>1544.1428571428571</c:v>
                      </c:pt>
                      <c:pt idx="31" formatCode="0.00">
                        <c:v>1544.5714285714287</c:v>
                      </c:pt>
                      <c:pt idx="32" formatCode="0.00">
                        <c:v>1707.4285714285713</c:v>
                      </c:pt>
                      <c:pt idx="33" formatCode="0.00">
                        <c:v>1855.2857142857142</c:v>
                      </c:pt>
                      <c:pt idx="34" formatCode="0.00">
                        <c:v>2025.4285714285713</c:v>
                      </c:pt>
                      <c:pt idx="35" formatCode="0.00">
                        <c:v>2162.1428571428573</c:v>
                      </c:pt>
                      <c:pt idx="36" formatCode="0.00">
                        <c:v>2270.2857142857142</c:v>
                      </c:pt>
                      <c:pt idx="37" formatCode="0.00">
                        <c:v>2354.8571428571427</c:v>
                      </c:pt>
                      <c:pt idx="38" formatCode="0.00">
                        <c:v>2455.1428571428573</c:v>
                      </c:pt>
                      <c:pt idx="39" formatCode="0.00">
                        <c:v>2481.5714285714284</c:v>
                      </c:pt>
                      <c:pt idx="40" formatCode="0.00">
                        <c:v>2424.7142857142858</c:v>
                      </c:pt>
                      <c:pt idx="41" formatCode="0.00">
                        <c:v>2403.5714285714284</c:v>
                      </c:pt>
                      <c:pt idx="42" formatCode="0.00">
                        <c:v>2471.5714285714284</c:v>
                      </c:pt>
                      <c:pt idx="43" formatCode="0.00">
                        <c:v>2452.2857142857142</c:v>
                      </c:pt>
                      <c:pt idx="44" formatCode="0.00">
                        <c:v>2486.5714285714284</c:v>
                      </c:pt>
                      <c:pt idx="45" formatCode="0.00">
                        <c:v>2432.4285714285716</c:v>
                      </c:pt>
                      <c:pt idx="46" formatCode="0.00">
                        <c:v>2406.4285714285716</c:v>
                      </c:pt>
                      <c:pt idx="47" formatCode="0.00">
                        <c:v>2441.2857142857142</c:v>
                      </c:pt>
                      <c:pt idx="48" formatCode="0.00">
                        <c:v>2454.5714285714284</c:v>
                      </c:pt>
                      <c:pt idx="49" formatCode="0.00">
                        <c:v>2329.5714285714284</c:v>
                      </c:pt>
                      <c:pt idx="50" formatCode="0.00">
                        <c:v>2437.5714285714284</c:v>
                      </c:pt>
                      <c:pt idx="51" formatCode="0.00">
                        <c:v>2412</c:v>
                      </c:pt>
                      <c:pt idx="52" formatCode="0.00">
                        <c:v>2441.5714285714284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2DE-44EF-9BA0-AAD5C889083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Noise'!$E$3</c15:sqref>
                        </c15:formulaRef>
                      </c:ext>
                    </c:extLst>
                    <c:strCache>
                      <c:ptCount val="1"/>
                      <c:pt idx="0">
                        <c:v>Average Seasonal Indices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Noise'!$B$4:$B$59</c15:sqref>
                        </c15:formulaRef>
                      </c:ext>
                    </c:extLst>
                    <c:numCache>
                      <c:formatCode>d\-mmm</c:formatCode>
                      <c:ptCount val="56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  <c:pt idx="53">
                        <c:v>45100</c:v>
                      </c:pt>
                      <c:pt idx="54">
                        <c:v>45101</c:v>
                      </c:pt>
                      <c:pt idx="55">
                        <c:v>45102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Noise'!$E$4:$E$59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3" formatCode="0.00">
                        <c:v>260.07142857142856</c:v>
                      </c:pt>
                      <c:pt idx="4" formatCode="0.00">
                        <c:v>-125.4081632653061</c:v>
                      </c:pt>
                      <c:pt idx="5" formatCode="0.00">
                        <c:v>-628.65306122448976</c:v>
                      </c:pt>
                      <c:pt idx="6" formatCode="0.00">
                        <c:v>-707.67346938775506</c:v>
                      </c:pt>
                      <c:pt idx="7" formatCode="0.00">
                        <c:v>429.83673469387759</c:v>
                      </c:pt>
                      <c:pt idx="8" formatCode="0.00">
                        <c:v>265.08163265306132</c:v>
                      </c:pt>
                      <c:pt idx="9" formatCode="0.00">
                        <c:v>458.57142857142856</c:v>
                      </c:pt>
                      <c:pt idx="10" formatCode="0.00">
                        <c:v>260.07142857142856</c:v>
                      </c:pt>
                      <c:pt idx="11" formatCode="0.00">
                        <c:v>-125.4081632653061</c:v>
                      </c:pt>
                      <c:pt idx="12" formatCode="0.00">
                        <c:v>-628.65306122448976</c:v>
                      </c:pt>
                      <c:pt idx="13" formatCode="0.00">
                        <c:v>-707.67346938775506</c:v>
                      </c:pt>
                      <c:pt idx="14" formatCode="0.00">
                        <c:v>429.83673469387759</c:v>
                      </c:pt>
                      <c:pt idx="15" formatCode="0.00">
                        <c:v>265.08163265306132</c:v>
                      </c:pt>
                      <c:pt idx="16" formatCode="0.00">
                        <c:v>458.57142857142856</c:v>
                      </c:pt>
                      <c:pt idx="17" formatCode="0.00">
                        <c:v>260.07142857142856</c:v>
                      </c:pt>
                      <c:pt idx="18" formatCode="0.00">
                        <c:v>-125.4081632653061</c:v>
                      </c:pt>
                      <c:pt idx="19" formatCode="0.00">
                        <c:v>-628.65306122448976</c:v>
                      </c:pt>
                      <c:pt idx="20" formatCode="0.00">
                        <c:v>-707.67346938775506</c:v>
                      </c:pt>
                      <c:pt idx="21" formatCode="0.00">
                        <c:v>429.83673469387759</c:v>
                      </c:pt>
                      <c:pt idx="22" formatCode="0.00">
                        <c:v>265.08163265306132</c:v>
                      </c:pt>
                      <c:pt idx="23" formatCode="0.00">
                        <c:v>458.57142857142856</c:v>
                      </c:pt>
                      <c:pt idx="24" formatCode="0.00">
                        <c:v>260.07142857142856</c:v>
                      </c:pt>
                      <c:pt idx="25" formatCode="0.00">
                        <c:v>-125.4081632653061</c:v>
                      </c:pt>
                      <c:pt idx="26" formatCode="0.00">
                        <c:v>-628.65306122448976</c:v>
                      </c:pt>
                      <c:pt idx="27" formatCode="0.00">
                        <c:v>-707.67346938775506</c:v>
                      </c:pt>
                      <c:pt idx="28" formatCode="0.00">
                        <c:v>429.83673469387759</c:v>
                      </c:pt>
                      <c:pt idx="29" formatCode="0.00">
                        <c:v>265.08163265306132</c:v>
                      </c:pt>
                      <c:pt idx="30" formatCode="0.00">
                        <c:v>458.57142857142856</c:v>
                      </c:pt>
                      <c:pt idx="31" formatCode="0.00">
                        <c:v>260.07142857142856</c:v>
                      </c:pt>
                      <c:pt idx="32" formatCode="0.00">
                        <c:v>-125.4081632653061</c:v>
                      </c:pt>
                      <c:pt idx="33" formatCode="0.00">
                        <c:v>-628.65306122448976</c:v>
                      </c:pt>
                      <c:pt idx="34" formatCode="0.00">
                        <c:v>-707.67346938775506</c:v>
                      </c:pt>
                      <c:pt idx="35" formatCode="0.00">
                        <c:v>429.83673469387759</c:v>
                      </c:pt>
                      <c:pt idx="36" formatCode="0.00">
                        <c:v>265.08163265306132</c:v>
                      </c:pt>
                      <c:pt idx="37" formatCode="0.00">
                        <c:v>458.57142857142856</c:v>
                      </c:pt>
                      <c:pt idx="38" formatCode="0.00">
                        <c:v>260.07142857142856</c:v>
                      </c:pt>
                      <c:pt idx="39" formatCode="0.00">
                        <c:v>-125.4081632653061</c:v>
                      </c:pt>
                      <c:pt idx="40" formatCode="0.00">
                        <c:v>-628.65306122448976</c:v>
                      </c:pt>
                      <c:pt idx="41" formatCode="0.00">
                        <c:v>-707.67346938775506</c:v>
                      </c:pt>
                      <c:pt idx="42" formatCode="0.00">
                        <c:v>429.83673469387759</c:v>
                      </c:pt>
                      <c:pt idx="43" formatCode="0.00">
                        <c:v>265.08163265306132</c:v>
                      </c:pt>
                      <c:pt idx="44" formatCode="0.00">
                        <c:v>458.57142857142856</c:v>
                      </c:pt>
                      <c:pt idx="45" formatCode="0.00">
                        <c:v>260.07142857142856</c:v>
                      </c:pt>
                      <c:pt idx="46" formatCode="0.00">
                        <c:v>-125.4081632653061</c:v>
                      </c:pt>
                      <c:pt idx="47" formatCode="0.00">
                        <c:v>-628.65306122448976</c:v>
                      </c:pt>
                      <c:pt idx="48" formatCode="0.00">
                        <c:v>-707.67346938775506</c:v>
                      </c:pt>
                      <c:pt idx="49" formatCode="0.00">
                        <c:v>429.83673469387759</c:v>
                      </c:pt>
                      <c:pt idx="50" formatCode="0.00">
                        <c:v>265.08163265306132</c:v>
                      </c:pt>
                      <c:pt idx="51" formatCode="0.00">
                        <c:v>458.57142857142856</c:v>
                      </c:pt>
                      <c:pt idx="52" formatCode="0.00">
                        <c:v>260.07142857142856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DE-44EF-9BA0-AAD5C88908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Noise'!$F$3</c15:sqref>
                        </c15:formulaRef>
                      </c:ext>
                    </c:extLst>
                    <c:strCache>
                      <c:ptCount val="1"/>
                      <c:pt idx="0">
                        <c:v>Season and 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Noise'!$B$4:$B$59</c15:sqref>
                        </c15:formulaRef>
                      </c:ext>
                    </c:extLst>
                    <c:numCache>
                      <c:formatCode>d\-mmm</c:formatCode>
                      <c:ptCount val="56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  <c:pt idx="53">
                        <c:v>45100</c:v>
                      </c:pt>
                      <c:pt idx="54">
                        <c:v>45101</c:v>
                      </c:pt>
                      <c:pt idx="55">
                        <c:v>45102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Noise'!$F$4:$F$59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3" formatCode="0.00">
                        <c:v>1837.2142857142858</c:v>
                      </c:pt>
                      <c:pt idx="4" formatCode="0.00">
                        <c:v>1495.4489795918369</c:v>
                      </c:pt>
                      <c:pt idx="5" formatCode="0.00">
                        <c:v>993.20408163265313</c:v>
                      </c:pt>
                      <c:pt idx="6" formatCode="0.00">
                        <c:v>929.89795918367361</c:v>
                      </c:pt>
                      <c:pt idx="7" formatCode="0.00">
                        <c:v>2104.2653061224491</c:v>
                      </c:pt>
                      <c:pt idx="8" formatCode="0.00">
                        <c:v>1912.3673469387754</c:v>
                      </c:pt>
                      <c:pt idx="9" formatCode="0.00">
                        <c:v>2071.2857142857142</c:v>
                      </c:pt>
                      <c:pt idx="10" formatCode="0.00">
                        <c:v>1899.6428571428573</c:v>
                      </c:pt>
                      <c:pt idx="11" formatCode="0.00">
                        <c:v>1517.4489795918369</c:v>
                      </c:pt>
                      <c:pt idx="12" formatCode="0.00">
                        <c:v>937.20408163265313</c:v>
                      </c:pt>
                      <c:pt idx="13" formatCode="0.00">
                        <c:v>847.18367346938783</c:v>
                      </c:pt>
                      <c:pt idx="14" formatCode="0.00">
                        <c:v>2006.1224489795918</c:v>
                      </c:pt>
                      <c:pt idx="15" formatCode="0.00">
                        <c:v>1850.3673469387754</c:v>
                      </c:pt>
                      <c:pt idx="16" formatCode="0.00">
                        <c:v>2045.2857142857142</c:v>
                      </c:pt>
                      <c:pt idx="17" formatCode="0.00">
                        <c:v>1851.0714285714284</c:v>
                      </c:pt>
                      <c:pt idx="18" formatCode="0.00">
                        <c:v>1467.8775510204082</c:v>
                      </c:pt>
                      <c:pt idx="19" formatCode="0.00">
                        <c:v>966.48979591836735</c:v>
                      </c:pt>
                      <c:pt idx="20" formatCode="0.00">
                        <c:v>910.32653061224494</c:v>
                      </c:pt>
                      <c:pt idx="21" formatCode="0.00">
                        <c:v>2015.9795918367347</c:v>
                      </c:pt>
                      <c:pt idx="22" formatCode="0.00">
                        <c:v>1901.5102040816328</c:v>
                      </c:pt>
                      <c:pt idx="23" formatCode="0.00">
                        <c:v>2127.5714285714284</c:v>
                      </c:pt>
                      <c:pt idx="24" formatCode="0.00">
                        <c:v>1929.0714285714284</c:v>
                      </c:pt>
                      <c:pt idx="25" formatCode="0.00">
                        <c:v>1523.0204081632653</c:v>
                      </c:pt>
                      <c:pt idx="26" formatCode="0.00">
                        <c:v>1017.7755102040816</c:v>
                      </c:pt>
                      <c:pt idx="27" formatCode="0.00">
                        <c:v>912.04081632653072</c:v>
                      </c:pt>
                      <c:pt idx="28" formatCode="0.00">
                        <c:v>2044.8367346938776</c:v>
                      </c:pt>
                      <c:pt idx="29" formatCode="0.00">
                        <c:v>1850.3673469387754</c:v>
                      </c:pt>
                      <c:pt idx="30" formatCode="0.00">
                        <c:v>2002.7142857142858</c:v>
                      </c:pt>
                      <c:pt idx="31" formatCode="0.00">
                        <c:v>1804.6428571428573</c:v>
                      </c:pt>
                      <c:pt idx="32" formatCode="0.00">
                        <c:v>1582.0204081632653</c:v>
                      </c:pt>
                      <c:pt idx="33" formatCode="0.00">
                        <c:v>1226.6326530612246</c:v>
                      </c:pt>
                      <c:pt idx="34" formatCode="0.00">
                        <c:v>1317.7551020408164</c:v>
                      </c:pt>
                      <c:pt idx="35" formatCode="0.00">
                        <c:v>2591.9795918367349</c:v>
                      </c:pt>
                      <c:pt idx="36" formatCode="0.00">
                        <c:v>2535.3673469387754</c:v>
                      </c:pt>
                      <c:pt idx="37" formatCode="0.00">
                        <c:v>2813.4285714285711</c:v>
                      </c:pt>
                      <c:pt idx="38" formatCode="0.00">
                        <c:v>2715.2142857142858</c:v>
                      </c:pt>
                      <c:pt idx="39" formatCode="0.00">
                        <c:v>2356.1632653061224</c:v>
                      </c:pt>
                      <c:pt idx="40" formatCode="0.00">
                        <c:v>1796.0612244897961</c:v>
                      </c:pt>
                      <c:pt idx="41" formatCode="0.00">
                        <c:v>1695.8979591836733</c:v>
                      </c:pt>
                      <c:pt idx="42" formatCode="0.00">
                        <c:v>2901.408163265306</c:v>
                      </c:pt>
                      <c:pt idx="43" formatCode="0.00">
                        <c:v>2717.3673469387754</c:v>
                      </c:pt>
                      <c:pt idx="44" formatCode="0.00">
                        <c:v>2945.1428571428569</c:v>
                      </c:pt>
                      <c:pt idx="45" formatCode="0.00">
                        <c:v>2692.5</c:v>
                      </c:pt>
                      <c:pt idx="46" formatCode="0.00">
                        <c:v>2281.0204081632655</c:v>
                      </c:pt>
                      <c:pt idx="47" formatCode="0.00">
                        <c:v>1812.6326530612246</c:v>
                      </c:pt>
                      <c:pt idx="48" formatCode="0.00">
                        <c:v>1746.8979591836733</c:v>
                      </c:pt>
                      <c:pt idx="49" formatCode="0.00">
                        <c:v>2759.408163265306</c:v>
                      </c:pt>
                      <c:pt idx="50" formatCode="0.00">
                        <c:v>2702.6530612244896</c:v>
                      </c:pt>
                      <c:pt idx="51" formatCode="0.00">
                        <c:v>2870.5714285714284</c:v>
                      </c:pt>
                      <c:pt idx="52" formatCode="0.00">
                        <c:v>2701.6428571428569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DE-44EF-9BA0-AAD5C8890838}"/>
                  </c:ext>
                </c:extLst>
              </c15:ser>
            </c15:filteredLineSeries>
          </c:ext>
        </c:extLst>
      </c:lineChart>
      <c:dateAx>
        <c:axId val="179114155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79325183"/>
        <c:crosses val="autoZero"/>
        <c:auto val="0"/>
        <c:lblOffset val="100"/>
        <c:baseTimeUnit val="days"/>
      </c:dateAx>
      <c:valAx>
        <c:axId val="177932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9114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Seasonal Indices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'2.5 Noise'!$E$3</c:f>
              <c:strCache>
                <c:ptCount val="1"/>
                <c:pt idx="0">
                  <c:v>Average Seasonal Indices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'2.5 Noise'!$B$4:$B$56</c:f>
              <c:numCache>
                <c:formatCode>d\-mmm</c:formatCode>
                <c:ptCount val="53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</c:numCache>
            </c:numRef>
          </c:cat>
          <c:val>
            <c:numRef>
              <c:f>'2.5 Noise'!$E$4:$E$56</c:f>
              <c:numCache>
                <c:formatCode>General</c:formatCode>
                <c:ptCount val="53"/>
                <c:pt idx="3" formatCode="0.00">
                  <c:v>260.07142857142856</c:v>
                </c:pt>
                <c:pt idx="4" formatCode="0.00">
                  <c:v>-125.4081632653061</c:v>
                </c:pt>
                <c:pt idx="5" formatCode="0.00">
                  <c:v>-628.65306122448976</c:v>
                </c:pt>
                <c:pt idx="6" formatCode="0.00">
                  <c:v>-707.67346938775506</c:v>
                </c:pt>
                <c:pt idx="7" formatCode="0.00">
                  <c:v>429.83673469387759</c:v>
                </c:pt>
                <c:pt idx="8" formatCode="0.00">
                  <c:v>265.08163265306132</c:v>
                </c:pt>
                <c:pt idx="9" formatCode="0.00">
                  <c:v>458.57142857142856</c:v>
                </c:pt>
                <c:pt idx="10" formatCode="0.00">
                  <c:v>260.07142857142856</c:v>
                </c:pt>
                <c:pt idx="11" formatCode="0.00">
                  <c:v>-125.4081632653061</c:v>
                </c:pt>
                <c:pt idx="12" formatCode="0.00">
                  <c:v>-628.65306122448976</c:v>
                </c:pt>
                <c:pt idx="13" formatCode="0.00">
                  <c:v>-707.67346938775506</c:v>
                </c:pt>
                <c:pt idx="14" formatCode="0.00">
                  <c:v>429.83673469387759</c:v>
                </c:pt>
                <c:pt idx="15" formatCode="0.00">
                  <c:v>265.08163265306132</c:v>
                </c:pt>
                <c:pt idx="16" formatCode="0.00">
                  <c:v>458.57142857142856</c:v>
                </c:pt>
                <c:pt idx="17" formatCode="0.00">
                  <c:v>260.07142857142856</c:v>
                </c:pt>
                <c:pt idx="18" formatCode="0.00">
                  <c:v>-125.4081632653061</c:v>
                </c:pt>
                <c:pt idx="19" formatCode="0.00">
                  <c:v>-628.65306122448976</c:v>
                </c:pt>
                <c:pt idx="20" formatCode="0.00">
                  <c:v>-707.67346938775506</c:v>
                </c:pt>
                <c:pt idx="21" formatCode="0.00">
                  <c:v>429.83673469387759</c:v>
                </c:pt>
                <c:pt idx="22" formatCode="0.00">
                  <c:v>265.08163265306132</c:v>
                </c:pt>
                <c:pt idx="23" formatCode="0.00">
                  <c:v>458.57142857142856</c:v>
                </c:pt>
                <c:pt idx="24" formatCode="0.00">
                  <c:v>260.07142857142856</c:v>
                </c:pt>
                <c:pt idx="25" formatCode="0.00">
                  <c:v>-125.4081632653061</c:v>
                </c:pt>
                <c:pt idx="26" formatCode="0.00">
                  <c:v>-628.65306122448976</c:v>
                </c:pt>
                <c:pt idx="27" formatCode="0.00">
                  <c:v>-707.67346938775506</c:v>
                </c:pt>
                <c:pt idx="28" formatCode="0.00">
                  <c:v>429.83673469387759</c:v>
                </c:pt>
                <c:pt idx="29" formatCode="0.00">
                  <c:v>265.08163265306132</c:v>
                </c:pt>
                <c:pt idx="30" formatCode="0.00">
                  <c:v>458.57142857142856</c:v>
                </c:pt>
                <c:pt idx="31" formatCode="0.00">
                  <c:v>260.07142857142856</c:v>
                </c:pt>
                <c:pt idx="32" formatCode="0.00">
                  <c:v>-125.4081632653061</c:v>
                </c:pt>
                <c:pt idx="33" formatCode="0.00">
                  <c:v>-628.65306122448976</c:v>
                </c:pt>
                <c:pt idx="34" formatCode="0.00">
                  <c:v>-707.67346938775506</c:v>
                </c:pt>
                <c:pt idx="35" formatCode="0.00">
                  <c:v>429.83673469387759</c:v>
                </c:pt>
                <c:pt idx="36" formatCode="0.00">
                  <c:v>265.08163265306132</c:v>
                </c:pt>
                <c:pt idx="37" formatCode="0.00">
                  <c:v>458.57142857142856</c:v>
                </c:pt>
                <c:pt idx="38" formatCode="0.00">
                  <c:v>260.07142857142856</c:v>
                </c:pt>
                <c:pt idx="39" formatCode="0.00">
                  <c:v>-125.4081632653061</c:v>
                </c:pt>
                <c:pt idx="40" formatCode="0.00">
                  <c:v>-628.65306122448976</c:v>
                </c:pt>
                <c:pt idx="41" formatCode="0.00">
                  <c:v>-707.67346938775506</c:v>
                </c:pt>
                <c:pt idx="42" formatCode="0.00">
                  <c:v>429.83673469387759</c:v>
                </c:pt>
                <c:pt idx="43" formatCode="0.00">
                  <c:v>265.08163265306132</c:v>
                </c:pt>
                <c:pt idx="44" formatCode="0.00">
                  <c:v>458.57142857142856</c:v>
                </c:pt>
                <c:pt idx="45" formatCode="0.00">
                  <c:v>260.07142857142856</c:v>
                </c:pt>
                <c:pt idx="46" formatCode="0.00">
                  <c:v>-125.4081632653061</c:v>
                </c:pt>
                <c:pt idx="47" formatCode="0.00">
                  <c:v>-628.65306122448976</c:v>
                </c:pt>
                <c:pt idx="48" formatCode="0.00">
                  <c:v>-707.67346938775506</c:v>
                </c:pt>
                <c:pt idx="49" formatCode="0.00">
                  <c:v>429.83673469387759</c:v>
                </c:pt>
                <c:pt idx="50" formatCode="0.00">
                  <c:v>265.08163265306132</c:v>
                </c:pt>
                <c:pt idx="51" formatCode="0.00">
                  <c:v>458.57142857142856</c:v>
                </c:pt>
                <c:pt idx="52" formatCode="0.00">
                  <c:v>260.07142857142856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81-4167-AFE5-79268BD44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993087"/>
        <c:axId val="14409935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'2.5 Noise'!$C$3</c15:sqref>
                        </c15:formulaRef>
                      </c:ext>
                    </c:extLst>
                    <c:strCache>
                      <c:ptCount val="1"/>
                      <c:pt idx="0">
                        <c:v>New Calls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'2.5 Noise'!$B$4:$B$56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'2.5 Noise'!$C$4:$C$56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3"/>
                      <c:pt idx="0">
                        <c:v>1576</c:v>
                      </c:pt>
                      <c:pt idx="1">
                        <c:v>2299</c:v>
                      </c:pt>
                      <c:pt idx="2">
                        <c:v>1878</c:v>
                      </c:pt>
                      <c:pt idx="3">
                        <c:v>1628</c:v>
                      </c:pt>
                      <c:pt idx="4">
                        <c:v>1555</c:v>
                      </c:pt>
                      <c:pt idx="5">
                        <c:v>1240</c:v>
                      </c:pt>
                      <c:pt idx="6">
                        <c:v>864</c:v>
                      </c:pt>
                      <c:pt idx="7">
                        <c:v>1882</c:v>
                      </c:pt>
                      <c:pt idx="8">
                        <c:v>2306</c:v>
                      </c:pt>
                      <c:pt idx="9">
                        <c:v>1988</c:v>
                      </c:pt>
                      <c:pt idx="10">
                        <c:v>1886</c:v>
                      </c:pt>
                      <c:pt idx="11">
                        <c:v>1365</c:v>
                      </c:pt>
                      <c:pt idx="12">
                        <c:v>998</c:v>
                      </c:pt>
                      <c:pt idx="13">
                        <c:v>1052</c:v>
                      </c:pt>
                      <c:pt idx="14">
                        <c:v>1905</c:v>
                      </c:pt>
                      <c:pt idx="15">
                        <c:v>1767</c:v>
                      </c:pt>
                      <c:pt idx="16">
                        <c:v>1911</c:v>
                      </c:pt>
                      <c:pt idx="17">
                        <c:v>2036</c:v>
                      </c:pt>
                      <c:pt idx="18">
                        <c:v>1428</c:v>
                      </c:pt>
                      <c:pt idx="19">
                        <c:v>1008</c:v>
                      </c:pt>
                      <c:pt idx="20">
                        <c:v>1082</c:v>
                      </c:pt>
                      <c:pt idx="21">
                        <c:v>1921</c:v>
                      </c:pt>
                      <c:pt idx="22">
                        <c:v>1780</c:v>
                      </c:pt>
                      <c:pt idx="23">
                        <c:v>2071</c:v>
                      </c:pt>
                      <c:pt idx="24">
                        <c:v>1813</c:v>
                      </c:pt>
                      <c:pt idx="25">
                        <c:v>1780</c:v>
                      </c:pt>
                      <c:pt idx="26">
                        <c:v>1236</c:v>
                      </c:pt>
                      <c:pt idx="27">
                        <c:v>1082</c:v>
                      </c:pt>
                      <c:pt idx="28">
                        <c:v>1777</c:v>
                      </c:pt>
                      <c:pt idx="29">
                        <c:v>1766</c:v>
                      </c:pt>
                      <c:pt idx="30">
                        <c:v>1884</c:v>
                      </c:pt>
                      <c:pt idx="31">
                        <c:v>1780</c:v>
                      </c:pt>
                      <c:pt idx="32">
                        <c:v>1572</c:v>
                      </c:pt>
                      <c:pt idx="33">
                        <c:v>948</c:v>
                      </c:pt>
                      <c:pt idx="34">
                        <c:v>1085</c:v>
                      </c:pt>
                      <c:pt idx="35">
                        <c:v>2917</c:v>
                      </c:pt>
                      <c:pt idx="36">
                        <c:v>2801</c:v>
                      </c:pt>
                      <c:pt idx="37">
                        <c:v>3075</c:v>
                      </c:pt>
                      <c:pt idx="38">
                        <c:v>2737</c:v>
                      </c:pt>
                      <c:pt idx="39">
                        <c:v>2329</c:v>
                      </c:pt>
                      <c:pt idx="40">
                        <c:v>1540</c:v>
                      </c:pt>
                      <c:pt idx="41">
                        <c:v>1787</c:v>
                      </c:pt>
                      <c:pt idx="42">
                        <c:v>3102</c:v>
                      </c:pt>
                      <c:pt idx="43">
                        <c:v>2403</c:v>
                      </c:pt>
                      <c:pt idx="44">
                        <c:v>2927</c:v>
                      </c:pt>
                      <c:pt idx="45">
                        <c:v>3213</c:v>
                      </c:pt>
                      <c:pt idx="46">
                        <c:v>2194</c:v>
                      </c:pt>
                      <c:pt idx="47">
                        <c:v>1780</c:v>
                      </c:pt>
                      <c:pt idx="48">
                        <c:v>1408</c:v>
                      </c:pt>
                      <c:pt idx="49">
                        <c:v>2920</c:v>
                      </c:pt>
                      <c:pt idx="50">
                        <c:v>2647</c:v>
                      </c:pt>
                      <c:pt idx="51">
                        <c:v>3020</c:v>
                      </c:pt>
                      <c:pt idx="52">
                        <c:v>2338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F81-4167-AFE5-79268BD443B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Noise'!$D$3</c15:sqref>
                        </c15:formulaRef>
                      </c:ext>
                    </c:extLst>
                    <c:strCache>
                      <c:ptCount val="1"/>
                      <c:pt idx="0">
                        <c:v>CMA-7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Noise'!$B$4:$B$56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Noise'!$D$4:$D$56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3" formatCode="0.00">
                        <c:v>1577.1428571428571</c:v>
                      </c:pt>
                      <c:pt idx="4" formatCode="0.00">
                        <c:v>1620.8571428571429</c:v>
                      </c:pt>
                      <c:pt idx="5" formatCode="0.00">
                        <c:v>1621.8571428571429</c:v>
                      </c:pt>
                      <c:pt idx="6" formatCode="0.00">
                        <c:v>1637.5714285714287</c:v>
                      </c:pt>
                      <c:pt idx="7" formatCode="0.00">
                        <c:v>1674.4285714285713</c:v>
                      </c:pt>
                      <c:pt idx="8" formatCode="0.00">
                        <c:v>1647.2857142857142</c:v>
                      </c:pt>
                      <c:pt idx="9" formatCode="0.00">
                        <c:v>1612.7142857142858</c:v>
                      </c:pt>
                      <c:pt idx="10" formatCode="0.00">
                        <c:v>1639.5714285714287</c:v>
                      </c:pt>
                      <c:pt idx="11" formatCode="0.00">
                        <c:v>1642.8571428571429</c:v>
                      </c:pt>
                      <c:pt idx="12" formatCode="0.00">
                        <c:v>1565.8571428571429</c:v>
                      </c:pt>
                      <c:pt idx="13" formatCode="0.00">
                        <c:v>1554.8571428571429</c:v>
                      </c:pt>
                      <c:pt idx="14" formatCode="0.00">
                        <c:v>1576.2857142857142</c:v>
                      </c:pt>
                      <c:pt idx="15" formatCode="0.00">
                        <c:v>1585.2857142857142</c:v>
                      </c:pt>
                      <c:pt idx="16" formatCode="0.00">
                        <c:v>1586.7142857142858</c:v>
                      </c:pt>
                      <c:pt idx="17" formatCode="0.00">
                        <c:v>1591</c:v>
                      </c:pt>
                      <c:pt idx="18" formatCode="0.00">
                        <c:v>1593.2857142857142</c:v>
                      </c:pt>
                      <c:pt idx="19" formatCode="0.00">
                        <c:v>1595.1428571428571</c:v>
                      </c:pt>
                      <c:pt idx="20" formatCode="0.00">
                        <c:v>1618</c:v>
                      </c:pt>
                      <c:pt idx="21" formatCode="0.00">
                        <c:v>1586.1428571428571</c:v>
                      </c:pt>
                      <c:pt idx="22" formatCode="0.00">
                        <c:v>1636.4285714285713</c:v>
                      </c:pt>
                      <c:pt idx="23" formatCode="0.00">
                        <c:v>1669</c:v>
                      </c:pt>
                      <c:pt idx="24" formatCode="0.00">
                        <c:v>1669</c:v>
                      </c:pt>
                      <c:pt idx="25" formatCode="0.00">
                        <c:v>1648.4285714285713</c:v>
                      </c:pt>
                      <c:pt idx="26" formatCode="0.00">
                        <c:v>1646.4285714285713</c:v>
                      </c:pt>
                      <c:pt idx="27" formatCode="0.00">
                        <c:v>1619.7142857142858</c:v>
                      </c:pt>
                      <c:pt idx="28" formatCode="0.00">
                        <c:v>1615</c:v>
                      </c:pt>
                      <c:pt idx="29" formatCode="0.00">
                        <c:v>1585.2857142857142</c:v>
                      </c:pt>
                      <c:pt idx="30" formatCode="0.00">
                        <c:v>1544.1428571428571</c:v>
                      </c:pt>
                      <c:pt idx="31" formatCode="0.00">
                        <c:v>1544.5714285714287</c:v>
                      </c:pt>
                      <c:pt idx="32" formatCode="0.00">
                        <c:v>1707.4285714285713</c:v>
                      </c:pt>
                      <c:pt idx="33" formatCode="0.00">
                        <c:v>1855.2857142857142</c:v>
                      </c:pt>
                      <c:pt idx="34" formatCode="0.00">
                        <c:v>2025.4285714285713</c:v>
                      </c:pt>
                      <c:pt idx="35" formatCode="0.00">
                        <c:v>2162.1428571428573</c:v>
                      </c:pt>
                      <c:pt idx="36" formatCode="0.00">
                        <c:v>2270.2857142857142</c:v>
                      </c:pt>
                      <c:pt idx="37" formatCode="0.00">
                        <c:v>2354.8571428571427</c:v>
                      </c:pt>
                      <c:pt idx="38" formatCode="0.00">
                        <c:v>2455.1428571428573</c:v>
                      </c:pt>
                      <c:pt idx="39" formatCode="0.00">
                        <c:v>2481.5714285714284</c:v>
                      </c:pt>
                      <c:pt idx="40" formatCode="0.00">
                        <c:v>2424.7142857142858</c:v>
                      </c:pt>
                      <c:pt idx="41" formatCode="0.00">
                        <c:v>2403.5714285714284</c:v>
                      </c:pt>
                      <c:pt idx="42" formatCode="0.00">
                        <c:v>2471.5714285714284</c:v>
                      </c:pt>
                      <c:pt idx="43" formatCode="0.00">
                        <c:v>2452.2857142857142</c:v>
                      </c:pt>
                      <c:pt idx="44" formatCode="0.00">
                        <c:v>2486.5714285714284</c:v>
                      </c:pt>
                      <c:pt idx="45" formatCode="0.00">
                        <c:v>2432.4285714285716</c:v>
                      </c:pt>
                      <c:pt idx="46" formatCode="0.00">
                        <c:v>2406.4285714285716</c:v>
                      </c:pt>
                      <c:pt idx="47" formatCode="0.00">
                        <c:v>2441.2857142857142</c:v>
                      </c:pt>
                      <c:pt idx="48" formatCode="0.00">
                        <c:v>2454.5714285714284</c:v>
                      </c:pt>
                      <c:pt idx="49" formatCode="0.00">
                        <c:v>2329.5714285714284</c:v>
                      </c:pt>
                      <c:pt idx="50" formatCode="0.00">
                        <c:v>2437.5714285714284</c:v>
                      </c:pt>
                      <c:pt idx="51" formatCode="0.00">
                        <c:v>2412</c:v>
                      </c:pt>
                      <c:pt idx="52" formatCode="0.00">
                        <c:v>2441.5714285714284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F81-4167-AFE5-79268BD443B2}"/>
                  </c:ext>
                </c:extLst>
              </c15:ser>
            </c15:filteredLineSeries>
          </c:ext>
        </c:extLst>
      </c:lineChart>
      <c:dateAx>
        <c:axId val="1440993087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40993567"/>
        <c:crosses val="autoZero"/>
        <c:auto val="1"/>
        <c:lblOffset val="100"/>
        <c:baseTimeUnit val="days"/>
      </c:dateAx>
      <c:valAx>
        <c:axId val="144099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4099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'2.5 Noise'!$D$3</c:f>
              <c:strCache>
                <c:ptCount val="1"/>
                <c:pt idx="0">
                  <c:v>CMA-7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'2.5 Noise'!$B$4:$B$56</c:f>
              <c:numCache>
                <c:formatCode>d\-mmm</c:formatCode>
                <c:ptCount val="53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</c:numCache>
            </c:numRef>
          </c:cat>
          <c:val>
            <c:numRef>
              <c:f>'2.5 Noise'!$D$4:$D$56</c:f>
              <c:numCache>
                <c:formatCode>General</c:formatCode>
                <c:ptCount val="53"/>
                <c:pt idx="3" formatCode="0.00">
                  <c:v>1577.1428571428571</c:v>
                </c:pt>
                <c:pt idx="4" formatCode="0.00">
                  <c:v>1620.8571428571429</c:v>
                </c:pt>
                <c:pt idx="5" formatCode="0.00">
                  <c:v>1621.8571428571429</c:v>
                </c:pt>
                <c:pt idx="6" formatCode="0.00">
                  <c:v>1637.5714285714287</c:v>
                </c:pt>
                <c:pt idx="7" formatCode="0.00">
                  <c:v>1674.4285714285713</c:v>
                </c:pt>
                <c:pt idx="8" formatCode="0.00">
                  <c:v>1647.2857142857142</c:v>
                </c:pt>
                <c:pt idx="9" formatCode="0.00">
                  <c:v>1612.7142857142858</c:v>
                </c:pt>
                <c:pt idx="10" formatCode="0.00">
                  <c:v>1639.5714285714287</c:v>
                </c:pt>
                <c:pt idx="11" formatCode="0.00">
                  <c:v>1642.8571428571429</c:v>
                </c:pt>
                <c:pt idx="12" formatCode="0.00">
                  <c:v>1565.8571428571429</c:v>
                </c:pt>
                <c:pt idx="13" formatCode="0.00">
                  <c:v>1554.8571428571429</c:v>
                </c:pt>
                <c:pt idx="14" formatCode="0.00">
                  <c:v>1576.2857142857142</c:v>
                </c:pt>
                <c:pt idx="15" formatCode="0.00">
                  <c:v>1585.2857142857142</c:v>
                </c:pt>
                <c:pt idx="16" formatCode="0.00">
                  <c:v>1586.7142857142858</c:v>
                </c:pt>
                <c:pt idx="17" formatCode="0.00">
                  <c:v>1591</c:v>
                </c:pt>
                <c:pt idx="18" formatCode="0.00">
                  <c:v>1593.2857142857142</c:v>
                </c:pt>
                <c:pt idx="19" formatCode="0.00">
                  <c:v>1595.1428571428571</c:v>
                </c:pt>
                <c:pt idx="20" formatCode="0.00">
                  <c:v>1618</c:v>
                </c:pt>
                <c:pt idx="21" formatCode="0.00">
                  <c:v>1586.1428571428571</c:v>
                </c:pt>
                <c:pt idx="22" formatCode="0.00">
                  <c:v>1636.4285714285713</c:v>
                </c:pt>
                <c:pt idx="23" formatCode="0.00">
                  <c:v>1669</c:v>
                </c:pt>
                <c:pt idx="24" formatCode="0.00">
                  <c:v>1669</c:v>
                </c:pt>
                <c:pt idx="25" formatCode="0.00">
                  <c:v>1648.4285714285713</c:v>
                </c:pt>
                <c:pt idx="26" formatCode="0.00">
                  <c:v>1646.4285714285713</c:v>
                </c:pt>
                <c:pt idx="27" formatCode="0.00">
                  <c:v>1619.7142857142858</c:v>
                </c:pt>
                <c:pt idx="28" formatCode="0.00">
                  <c:v>1615</c:v>
                </c:pt>
                <c:pt idx="29" formatCode="0.00">
                  <c:v>1585.2857142857142</c:v>
                </c:pt>
                <c:pt idx="30" formatCode="0.00">
                  <c:v>1544.1428571428571</c:v>
                </c:pt>
                <c:pt idx="31" formatCode="0.00">
                  <c:v>1544.5714285714287</c:v>
                </c:pt>
                <c:pt idx="32" formatCode="0.00">
                  <c:v>1707.4285714285713</c:v>
                </c:pt>
                <c:pt idx="33" formatCode="0.00">
                  <c:v>1855.2857142857142</c:v>
                </c:pt>
                <c:pt idx="34" formatCode="0.00">
                  <c:v>2025.4285714285713</c:v>
                </c:pt>
                <c:pt idx="35" formatCode="0.00">
                  <c:v>2162.1428571428573</c:v>
                </c:pt>
                <c:pt idx="36" formatCode="0.00">
                  <c:v>2270.2857142857142</c:v>
                </c:pt>
                <c:pt idx="37" formatCode="0.00">
                  <c:v>2354.8571428571427</c:v>
                </c:pt>
                <c:pt idx="38" formatCode="0.00">
                  <c:v>2455.1428571428573</c:v>
                </c:pt>
                <c:pt idx="39" formatCode="0.00">
                  <c:v>2481.5714285714284</c:v>
                </c:pt>
                <c:pt idx="40" formatCode="0.00">
                  <c:v>2424.7142857142858</c:v>
                </c:pt>
                <c:pt idx="41" formatCode="0.00">
                  <c:v>2403.5714285714284</c:v>
                </c:pt>
                <c:pt idx="42" formatCode="0.00">
                  <c:v>2471.5714285714284</c:v>
                </c:pt>
                <c:pt idx="43" formatCode="0.00">
                  <c:v>2452.2857142857142</c:v>
                </c:pt>
                <c:pt idx="44" formatCode="0.00">
                  <c:v>2486.5714285714284</c:v>
                </c:pt>
                <c:pt idx="45" formatCode="0.00">
                  <c:v>2432.4285714285716</c:v>
                </c:pt>
                <c:pt idx="46" formatCode="0.00">
                  <c:v>2406.4285714285716</c:v>
                </c:pt>
                <c:pt idx="47" formatCode="0.00">
                  <c:v>2441.2857142857142</c:v>
                </c:pt>
                <c:pt idx="48" formatCode="0.00">
                  <c:v>2454.5714285714284</c:v>
                </c:pt>
                <c:pt idx="49" formatCode="0.00">
                  <c:v>2329.5714285714284</c:v>
                </c:pt>
                <c:pt idx="50" formatCode="0.00">
                  <c:v>2437.5714285714284</c:v>
                </c:pt>
                <c:pt idx="51" formatCode="0.00">
                  <c:v>2412</c:v>
                </c:pt>
                <c:pt idx="52" formatCode="0.00">
                  <c:v>2441.5714285714284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54-436A-866F-279F7EE9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994047"/>
        <c:axId val="14409777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'2.5 Noise'!$C$3</c15:sqref>
                        </c15:formulaRef>
                      </c:ext>
                    </c:extLst>
                    <c:strCache>
                      <c:ptCount val="1"/>
                      <c:pt idx="0">
                        <c:v>New Calls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'2.5 Noise'!$B$4:$B$56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'2.5 Noise'!$C$4:$C$56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53"/>
                      <c:pt idx="0">
                        <c:v>1576</c:v>
                      </c:pt>
                      <c:pt idx="1">
                        <c:v>2299</c:v>
                      </c:pt>
                      <c:pt idx="2">
                        <c:v>1878</c:v>
                      </c:pt>
                      <c:pt idx="3">
                        <c:v>1628</c:v>
                      </c:pt>
                      <c:pt idx="4">
                        <c:v>1555</c:v>
                      </c:pt>
                      <c:pt idx="5">
                        <c:v>1240</c:v>
                      </c:pt>
                      <c:pt idx="6">
                        <c:v>864</c:v>
                      </c:pt>
                      <c:pt idx="7">
                        <c:v>1882</c:v>
                      </c:pt>
                      <c:pt idx="8">
                        <c:v>2306</c:v>
                      </c:pt>
                      <c:pt idx="9">
                        <c:v>1988</c:v>
                      </c:pt>
                      <c:pt idx="10">
                        <c:v>1886</c:v>
                      </c:pt>
                      <c:pt idx="11">
                        <c:v>1365</c:v>
                      </c:pt>
                      <c:pt idx="12">
                        <c:v>998</c:v>
                      </c:pt>
                      <c:pt idx="13">
                        <c:v>1052</c:v>
                      </c:pt>
                      <c:pt idx="14">
                        <c:v>1905</c:v>
                      </c:pt>
                      <c:pt idx="15">
                        <c:v>1767</c:v>
                      </c:pt>
                      <c:pt idx="16">
                        <c:v>1911</c:v>
                      </c:pt>
                      <c:pt idx="17">
                        <c:v>2036</c:v>
                      </c:pt>
                      <c:pt idx="18">
                        <c:v>1428</c:v>
                      </c:pt>
                      <c:pt idx="19">
                        <c:v>1008</c:v>
                      </c:pt>
                      <c:pt idx="20">
                        <c:v>1082</c:v>
                      </c:pt>
                      <c:pt idx="21">
                        <c:v>1921</c:v>
                      </c:pt>
                      <c:pt idx="22">
                        <c:v>1780</c:v>
                      </c:pt>
                      <c:pt idx="23">
                        <c:v>2071</c:v>
                      </c:pt>
                      <c:pt idx="24">
                        <c:v>1813</c:v>
                      </c:pt>
                      <c:pt idx="25">
                        <c:v>1780</c:v>
                      </c:pt>
                      <c:pt idx="26">
                        <c:v>1236</c:v>
                      </c:pt>
                      <c:pt idx="27">
                        <c:v>1082</c:v>
                      </c:pt>
                      <c:pt idx="28">
                        <c:v>1777</c:v>
                      </c:pt>
                      <c:pt idx="29">
                        <c:v>1766</c:v>
                      </c:pt>
                      <c:pt idx="30">
                        <c:v>1884</c:v>
                      </c:pt>
                      <c:pt idx="31">
                        <c:v>1780</c:v>
                      </c:pt>
                      <c:pt idx="32">
                        <c:v>1572</c:v>
                      </c:pt>
                      <c:pt idx="33">
                        <c:v>948</c:v>
                      </c:pt>
                      <c:pt idx="34">
                        <c:v>1085</c:v>
                      </c:pt>
                      <c:pt idx="35">
                        <c:v>2917</c:v>
                      </c:pt>
                      <c:pt idx="36">
                        <c:v>2801</c:v>
                      </c:pt>
                      <c:pt idx="37">
                        <c:v>3075</c:v>
                      </c:pt>
                      <c:pt idx="38">
                        <c:v>2737</c:v>
                      </c:pt>
                      <c:pt idx="39">
                        <c:v>2329</c:v>
                      </c:pt>
                      <c:pt idx="40">
                        <c:v>1540</c:v>
                      </c:pt>
                      <c:pt idx="41">
                        <c:v>1787</c:v>
                      </c:pt>
                      <c:pt idx="42">
                        <c:v>3102</c:v>
                      </c:pt>
                      <c:pt idx="43">
                        <c:v>2403</c:v>
                      </c:pt>
                      <c:pt idx="44">
                        <c:v>2927</c:v>
                      </c:pt>
                      <c:pt idx="45">
                        <c:v>3213</c:v>
                      </c:pt>
                      <c:pt idx="46">
                        <c:v>2194</c:v>
                      </c:pt>
                      <c:pt idx="47">
                        <c:v>1780</c:v>
                      </c:pt>
                      <c:pt idx="48">
                        <c:v>1408</c:v>
                      </c:pt>
                      <c:pt idx="49">
                        <c:v>2920</c:v>
                      </c:pt>
                      <c:pt idx="50">
                        <c:v>2647</c:v>
                      </c:pt>
                      <c:pt idx="51">
                        <c:v>3020</c:v>
                      </c:pt>
                      <c:pt idx="52">
                        <c:v>2338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D54-436A-866F-279F7EE91C5D}"/>
                  </c:ext>
                </c:extLst>
              </c15:ser>
            </c15:filteredLineSeries>
          </c:ext>
        </c:extLst>
      </c:lineChart>
      <c:dateAx>
        <c:axId val="1440994047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40977727"/>
        <c:crosses val="autoZero"/>
        <c:auto val="1"/>
        <c:lblOffset val="100"/>
        <c:baseTimeUnit val="days"/>
      </c:dateAx>
      <c:valAx>
        <c:axId val="144097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4099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New</a:t>
            </a:r>
            <a:r>
              <a:rPr lang="en-US" b="1" baseline="0"/>
              <a:t> Time Series Comparison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'2.5 Noise'!$C$3</c:f>
              <c:strCache>
                <c:ptCount val="1"/>
                <c:pt idx="0">
                  <c:v>New 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'2.5 Noise'!$B$4:$B$59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'2.5 Noise'!$C$4:$C$59</c:f>
              <c:numCache>
                <c:formatCode>_-* #,##0_-;\-* #,##0_-;_-* "-"??_-;_-@_-</c:formatCode>
                <c:ptCount val="56"/>
                <c:pt idx="0">
                  <c:v>1576</c:v>
                </c:pt>
                <c:pt idx="1">
                  <c:v>2299</c:v>
                </c:pt>
                <c:pt idx="2">
                  <c:v>1878</c:v>
                </c:pt>
                <c:pt idx="3">
                  <c:v>1628</c:v>
                </c:pt>
                <c:pt idx="4">
                  <c:v>1555</c:v>
                </c:pt>
                <c:pt idx="5">
                  <c:v>1240</c:v>
                </c:pt>
                <c:pt idx="6">
                  <c:v>864</c:v>
                </c:pt>
                <c:pt idx="7">
                  <c:v>1882</c:v>
                </c:pt>
                <c:pt idx="8">
                  <c:v>2306</c:v>
                </c:pt>
                <c:pt idx="9">
                  <c:v>1988</c:v>
                </c:pt>
                <c:pt idx="10">
                  <c:v>1886</c:v>
                </c:pt>
                <c:pt idx="11">
                  <c:v>1365</c:v>
                </c:pt>
                <c:pt idx="12">
                  <c:v>998</c:v>
                </c:pt>
                <c:pt idx="13">
                  <c:v>1052</c:v>
                </c:pt>
                <c:pt idx="14">
                  <c:v>1905</c:v>
                </c:pt>
                <c:pt idx="15">
                  <c:v>1767</c:v>
                </c:pt>
                <c:pt idx="16">
                  <c:v>1911</c:v>
                </c:pt>
                <c:pt idx="17">
                  <c:v>2036</c:v>
                </c:pt>
                <c:pt idx="18">
                  <c:v>1428</c:v>
                </c:pt>
                <c:pt idx="19">
                  <c:v>1008</c:v>
                </c:pt>
                <c:pt idx="20">
                  <c:v>1082</c:v>
                </c:pt>
                <c:pt idx="21">
                  <c:v>1921</c:v>
                </c:pt>
                <c:pt idx="22">
                  <c:v>1780</c:v>
                </c:pt>
                <c:pt idx="23">
                  <c:v>2071</c:v>
                </c:pt>
                <c:pt idx="24">
                  <c:v>1813</c:v>
                </c:pt>
                <c:pt idx="25">
                  <c:v>1780</c:v>
                </c:pt>
                <c:pt idx="26">
                  <c:v>1236</c:v>
                </c:pt>
                <c:pt idx="27">
                  <c:v>1082</c:v>
                </c:pt>
                <c:pt idx="28">
                  <c:v>1777</c:v>
                </c:pt>
                <c:pt idx="29">
                  <c:v>1766</c:v>
                </c:pt>
                <c:pt idx="30">
                  <c:v>1884</c:v>
                </c:pt>
                <c:pt idx="31">
                  <c:v>1780</c:v>
                </c:pt>
                <c:pt idx="32">
                  <c:v>1572</c:v>
                </c:pt>
                <c:pt idx="33">
                  <c:v>948</c:v>
                </c:pt>
                <c:pt idx="34">
                  <c:v>1085</c:v>
                </c:pt>
                <c:pt idx="35">
                  <c:v>2917</c:v>
                </c:pt>
                <c:pt idx="36">
                  <c:v>2801</c:v>
                </c:pt>
                <c:pt idx="37">
                  <c:v>3075</c:v>
                </c:pt>
                <c:pt idx="38">
                  <c:v>2737</c:v>
                </c:pt>
                <c:pt idx="39">
                  <c:v>2329</c:v>
                </c:pt>
                <c:pt idx="40">
                  <c:v>1540</c:v>
                </c:pt>
                <c:pt idx="41">
                  <c:v>1787</c:v>
                </c:pt>
                <c:pt idx="42">
                  <c:v>3102</c:v>
                </c:pt>
                <c:pt idx="43">
                  <c:v>2403</c:v>
                </c:pt>
                <c:pt idx="44">
                  <c:v>2927</c:v>
                </c:pt>
                <c:pt idx="45">
                  <c:v>3213</c:v>
                </c:pt>
                <c:pt idx="46">
                  <c:v>2194</c:v>
                </c:pt>
                <c:pt idx="47">
                  <c:v>1780</c:v>
                </c:pt>
                <c:pt idx="48">
                  <c:v>1408</c:v>
                </c:pt>
                <c:pt idx="49">
                  <c:v>2920</c:v>
                </c:pt>
                <c:pt idx="50">
                  <c:v>2647</c:v>
                </c:pt>
                <c:pt idx="51">
                  <c:v>3020</c:v>
                </c:pt>
                <c:pt idx="52">
                  <c:v>2338</c:v>
                </c:pt>
                <c:pt idx="53">
                  <c:v>2950</c:v>
                </c:pt>
                <c:pt idx="54">
                  <c:v>1601</c:v>
                </c:pt>
                <c:pt idx="55">
                  <c:v>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7-4980-9BD4-55C6C11D0BA7}"/>
            </c:ext>
          </c:extLst>
        </c:ser>
        <c:ser>
          <c:idx val="3"/>
          <c:order val="3"/>
          <c:tx>
            <c:strRef>
              <c:f>'2.5 Noise'!$F$3</c:f>
              <c:strCache>
                <c:ptCount val="1"/>
                <c:pt idx="0">
                  <c:v>Season and Trend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'2.5 Noise'!$B$4:$B$59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'2.5 Noise'!$F$4:$F$59</c:f>
              <c:numCache>
                <c:formatCode>General</c:formatCode>
                <c:ptCount val="56"/>
                <c:pt idx="3" formatCode="0.00">
                  <c:v>1837.2142857142858</c:v>
                </c:pt>
                <c:pt idx="4" formatCode="0.00">
                  <c:v>1495.4489795918369</c:v>
                </c:pt>
                <c:pt idx="5" formatCode="0.00">
                  <c:v>993.20408163265313</c:v>
                </c:pt>
                <c:pt idx="6" formatCode="0.00">
                  <c:v>929.89795918367361</c:v>
                </c:pt>
                <c:pt idx="7" formatCode="0.00">
                  <c:v>2104.2653061224491</c:v>
                </c:pt>
                <c:pt idx="8" formatCode="0.00">
                  <c:v>1912.3673469387754</c:v>
                </c:pt>
                <c:pt idx="9" formatCode="0.00">
                  <c:v>2071.2857142857142</c:v>
                </c:pt>
                <c:pt idx="10" formatCode="0.00">
                  <c:v>1899.6428571428573</c:v>
                </c:pt>
                <c:pt idx="11" formatCode="0.00">
                  <c:v>1517.4489795918369</c:v>
                </c:pt>
                <c:pt idx="12" formatCode="0.00">
                  <c:v>937.20408163265313</c:v>
                </c:pt>
                <c:pt idx="13" formatCode="0.00">
                  <c:v>847.18367346938783</c:v>
                </c:pt>
                <c:pt idx="14" formatCode="0.00">
                  <c:v>2006.1224489795918</c:v>
                </c:pt>
                <c:pt idx="15" formatCode="0.00">
                  <c:v>1850.3673469387754</c:v>
                </c:pt>
                <c:pt idx="16" formatCode="0.00">
                  <c:v>2045.2857142857142</c:v>
                </c:pt>
                <c:pt idx="17" formatCode="0.00">
                  <c:v>1851.0714285714284</c:v>
                </c:pt>
                <c:pt idx="18" formatCode="0.00">
                  <c:v>1467.8775510204082</c:v>
                </c:pt>
                <c:pt idx="19" formatCode="0.00">
                  <c:v>966.48979591836735</c:v>
                </c:pt>
                <c:pt idx="20" formatCode="0.00">
                  <c:v>910.32653061224494</c:v>
                </c:pt>
                <c:pt idx="21" formatCode="0.00">
                  <c:v>2015.9795918367347</c:v>
                </c:pt>
                <c:pt idx="22" formatCode="0.00">
                  <c:v>1901.5102040816328</c:v>
                </c:pt>
                <c:pt idx="23" formatCode="0.00">
                  <c:v>2127.5714285714284</c:v>
                </c:pt>
                <c:pt idx="24" formatCode="0.00">
                  <c:v>1929.0714285714284</c:v>
                </c:pt>
                <c:pt idx="25" formatCode="0.00">
                  <c:v>1523.0204081632653</c:v>
                </c:pt>
                <c:pt idx="26" formatCode="0.00">
                  <c:v>1017.7755102040816</c:v>
                </c:pt>
                <c:pt idx="27" formatCode="0.00">
                  <c:v>912.04081632653072</c:v>
                </c:pt>
                <c:pt idx="28" formatCode="0.00">
                  <c:v>2044.8367346938776</c:v>
                </c:pt>
                <c:pt idx="29" formatCode="0.00">
                  <c:v>1850.3673469387754</c:v>
                </c:pt>
                <c:pt idx="30" formatCode="0.00">
                  <c:v>2002.7142857142858</c:v>
                </c:pt>
                <c:pt idx="31" formatCode="0.00">
                  <c:v>1804.6428571428573</c:v>
                </c:pt>
                <c:pt idx="32" formatCode="0.00">
                  <c:v>1582.0204081632653</c:v>
                </c:pt>
                <c:pt idx="33" formatCode="0.00">
                  <c:v>1226.6326530612246</c:v>
                </c:pt>
                <c:pt idx="34" formatCode="0.00">
                  <c:v>1317.7551020408164</c:v>
                </c:pt>
                <c:pt idx="35" formatCode="0.00">
                  <c:v>2591.9795918367349</c:v>
                </c:pt>
                <c:pt idx="36" formatCode="0.00">
                  <c:v>2535.3673469387754</c:v>
                </c:pt>
                <c:pt idx="37" formatCode="0.00">
                  <c:v>2813.4285714285711</c:v>
                </c:pt>
                <c:pt idx="38" formatCode="0.00">
                  <c:v>2715.2142857142858</c:v>
                </c:pt>
                <c:pt idx="39" formatCode="0.00">
                  <c:v>2356.1632653061224</c:v>
                </c:pt>
                <c:pt idx="40" formatCode="0.00">
                  <c:v>1796.0612244897961</c:v>
                </c:pt>
                <c:pt idx="41" formatCode="0.00">
                  <c:v>1695.8979591836733</c:v>
                </c:pt>
                <c:pt idx="42" formatCode="0.00">
                  <c:v>2901.408163265306</c:v>
                </c:pt>
                <c:pt idx="43" formatCode="0.00">
                  <c:v>2717.3673469387754</c:v>
                </c:pt>
                <c:pt idx="44" formatCode="0.00">
                  <c:v>2945.1428571428569</c:v>
                </c:pt>
                <c:pt idx="45" formatCode="0.00">
                  <c:v>2692.5</c:v>
                </c:pt>
                <c:pt idx="46" formatCode="0.00">
                  <c:v>2281.0204081632655</c:v>
                </c:pt>
                <c:pt idx="47" formatCode="0.00">
                  <c:v>1812.6326530612246</c:v>
                </c:pt>
                <c:pt idx="48" formatCode="0.00">
                  <c:v>1746.8979591836733</c:v>
                </c:pt>
                <c:pt idx="49" formatCode="0.00">
                  <c:v>2759.408163265306</c:v>
                </c:pt>
                <c:pt idx="50" formatCode="0.00">
                  <c:v>2702.6530612244896</c:v>
                </c:pt>
                <c:pt idx="51" formatCode="0.00">
                  <c:v>2870.5714285714284</c:v>
                </c:pt>
                <c:pt idx="52" formatCode="0.00">
                  <c:v>2701.6428571428569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97-4980-9BD4-55C6C11D0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031007"/>
        <c:axId val="144102188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'2.5 Noise'!$D$3</c15:sqref>
                        </c15:formulaRef>
                      </c:ext>
                    </c:extLst>
                    <c:strCache>
                      <c:ptCount val="1"/>
                      <c:pt idx="0">
                        <c:v>CMA-7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'2.5 Noise'!$B$4:$B$59</c15:sqref>
                        </c15:formulaRef>
                      </c:ext>
                    </c:extLst>
                    <c:numCache>
                      <c:formatCode>d\-mmm</c:formatCode>
                      <c:ptCount val="56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  <c:pt idx="53">
                        <c:v>45100</c:v>
                      </c:pt>
                      <c:pt idx="54">
                        <c:v>45101</c:v>
                      </c:pt>
                      <c:pt idx="55">
                        <c:v>45102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'2.5 Noise'!$D$4:$D$59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3" formatCode="0.00">
                        <c:v>1577.1428571428571</c:v>
                      </c:pt>
                      <c:pt idx="4" formatCode="0.00">
                        <c:v>1620.8571428571429</c:v>
                      </c:pt>
                      <c:pt idx="5" formatCode="0.00">
                        <c:v>1621.8571428571429</c:v>
                      </c:pt>
                      <c:pt idx="6" formatCode="0.00">
                        <c:v>1637.5714285714287</c:v>
                      </c:pt>
                      <c:pt idx="7" formatCode="0.00">
                        <c:v>1674.4285714285713</c:v>
                      </c:pt>
                      <c:pt idx="8" formatCode="0.00">
                        <c:v>1647.2857142857142</c:v>
                      </c:pt>
                      <c:pt idx="9" formatCode="0.00">
                        <c:v>1612.7142857142858</c:v>
                      </c:pt>
                      <c:pt idx="10" formatCode="0.00">
                        <c:v>1639.5714285714287</c:v>
                      </c:pt>
                      <c:pt idx="11" formatCode="0.00">
                        <c:v>1642.8571428571429</c:v>
                      </c:pt>
                      <c:pt idx="12" formatCode="0.00">
                        <c:v>1565.8571428571429</c:v>
                      </c:pt>
                      <c:pt idx="13" formatCode="0.00">
                        <c:v>1554.8571428571429</c:v>
                      </c:pt>
                      <c:pt idx="14" formatCode="0.00">
                        <c:v>1576.2857142857142</c:v>
                      </c:pt>
                      <c:pt idx="15" formatCode="0.00">
                        <c:v>1585.2857142857142</c:v>
                      </c:pt>
                      <c:pt idx="16" formatCode="0.00">
                        <c:v>1586.7142857142858</c:v>
                      </c:pt>
                      <c:pt idx="17" formatCode="0.00">
                        <c:v>1591</c:v>
                      </c:pt>
                      <c:pt idx="18" formatCode="0.00">
                        <c:v>1593.2857142857142</c:v>
                      </c:pt>
                      <c:pt idx="19" formatCode="0.00">
                        <c:v>1595.1428571428571</c:v>
                      </c:pt>
                      <c:pt idx="20" formatCode="0.00">
                        <c:v>1618</c:v>
                      </c:pt>
                      <c:pt idx="21" formatCode="0.00">
                        <c:v>1586.1428571428571</c:v>
                      </c:pt>
                      <c:pt idx="22" formatCode="0.00">
                        <c:v>1636.4285714285713</c:v>
                      </c:pt>
                      <c:pt idx="23" formatCode="0.00">
                        <c:v>1669</c:v>
                      </c:pt>
                      <c:pt idx="24" formatCode="0.00">
                        <c:v>1669</c:v>
                      </c:pt>
                      <c:pt idx="25" formatCode="0.00">
                        <c:v>1648.4285714285713</c:v>
                      </c:pt>
                      <c:pt idx="26" formatCode="0.00">
                        <c:v>1646.4285714285713</c:v>
                      </c:pt>
                      <c:pt idx="27" formatCode="0.00">
                        <c:v>1619.7142857142858</c:v>
                      </c:pt>
                      <c:pt idx="28" formatCode="0.00">
                        <c:v>1615</c:v>
                      </c:pt>
                      <c:pt idx="29" formatCode="0.00">
                        <c:v>1585.2857142857142</c:v>
                      </c:pt>
                      <c:pt idx="30" formatCode="0.00">
                        <c:v>1544.1428571428571</c:v>
                      </c:pt>
                      <c:pt idx="31" formatCode="0.00">
                        <c:v>1544.5714285714287</c:v>
                      </c:pt>
                      <c:pt idx="32" formatCode="0.00">
                        <c:v>1707.4285714285713</c:v>
                      </c:pt>
                      <c:pt idx="33" formatCode="0.00">
                        <c:v>1855.2857142857142</c:v>
                      </c:pt>
                      <c:pt idx="34" formatCode="0.00">
                        <c:v>2025.4285714285713</c:v>
                      </c:pt>
                      <c:pt idx="35" formatCode="0.00">
                        <c:v>2162.1428571428573</c:v>
                      </c:pt>
                      <c:pt idx="36" formatCode="0.00">
                        <c:v>2270.2857142857142</c:v>
                      </c:pt>
                      <c:pt idx="37" formatCode="0.00">
                        <c:v>2354.8571428571427</c:v>
                      </c:pt>
                      <c:pt idx="38" formatCode="0.00">
                        <c:v>2455.1428571428573</c:v>
                      </c:pt>
                      <c:pt idx="39" formatCode="0.00">
                        <c:v>2481.5714285714284</c:v>
                      </c:pt>
                      <c:pt idx="40" formatCode="0.00">
                        <c:v>2424.7142857142858</c:v>
                      </c:pt>
                      <c:pt idx="41" formatCode="0.00">
                        <c:v>2403.5714285714284</c:v>
                      </c:pt>
                      <c:pt idx="42" formatCode="0.00">
                        <c:v>2471.5714285714284</c:v>
                      </c:pt>
                      <c:pt idx="43" formatCode="0.00">
                        <c:v>2452.2857142857142</c:v>
                      </c:pt>
                      <c:pt idx="44" formatCode="0.00">
                        <c:v>2486.5714285714284</c:v>
                      </c:pt>
                      <c:pt idx="45" formatCode="0.00">
                        <c:v>2432.4285714285716</c:v>
                      </c:pt>
                      <c:pt idx="46" formatCode="0.00">
                        <c:v>2406.4285714285716</c:v>
                      </c:pt>
                      <c:pt idx="47" formatCode="0.00">
                        <c:v>2441.2857142857142</c:v>
                      </c:pt>
                      <c:pt idx="48" formatCode="0.00">
                        <c:v>2454.5714285714284</c:v>
                      </c:pt>
                      <c:pt idx="49" formatCode="0.00">
                        <c:v>2329.5714285714284</c:v>
                      </c:pt>
                      <c:pt idx="50" formatCode="0.00">
                        <c:v>2437.5714285714284</c:v>
                      </c:pt>
                      <c:pt idx="51" formatCode="0.00">
                        <c:v>2412</c:v>
                      </c:pt>
                      <c:pt idx="52" formatCode="0.00">
                        <c:v>2441.5714285714284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A97-4980-9BD4-55C6C11D0B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Noise'!$E$3</c15:sqref>
                        </c15:formulaRef>
                      </c:ext>
                    </c:extLst>
                    <c:strCache>
                      <c:ptCount val="1"/>
                      <c:pt idx="0">
                        <c:v>Average Seasonal Indices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Noise'!$B$4:$B$59</c15:sqref>
                        </c15:formulaRef>
                      </c:ext>
                    </c:extLst>
                    <c:numCache>
                      <c:formatCode>d\-mmm</c:formatCode>
                      <c:ptCount val="56"/>
                      <c:pt idx="0">
                        <c:v>45047</c:v>
                      </c:pt>
                      <c:pt idx="1">
                        <c:v>45048</c:v>
                      </c:pt>
                      <c:pt idx="2">
                        <c:v>45049</c:v>
                      </c:pt>
                      <c:pt idx="3">
                        <c:v>45050</c:v>
                      </c:pt>
                      <c:pt idx="4">
                        <c:v>45051</c:v>
                      </c:pt>
                      <c:pt idx="5">
                        <c:v>45052</c:v>
                      </c:pt>
                      <c:pt idx="6">
                        <c:v>45053</c:v>
                      </c:pt>
                      <c:pt idx="7">
                        <c:v>45054</c:v>
                      </c:pt>
                      <c:pt idx="8">
                        <c:v>45055</c:v>
                      </c:pt>
                      <c:pt idx="9">
                        <c:v>45056</c:v>
                      </c:pt>
                      <c:pt idx="10">
                        <c:v>45057</c:v>
                      </c:pt>
                      <c:pt idx="11">
                        <c:v>45058</c:v>
                      </c:pt>
                      <c:pt idx="12">
                        <c:v>45059</c:v>
                      </c:pt>
                      <c:pt idx="13">
                        <c:v>45060</c:v>
                      </c:pt>
                      <c:pt idx="14">
                        <c:v>45061</c:v>
                      </c:pt>
                      <c:pt idx="15">
                        <c:v>45062</c:v>
                      </c:pt>
                      <c:pt idx="16">
                        <c:v>45063</c:v>
                      </c:pt>
                      <c:pt idx="17">
                        <c:v>45064</c:v>
                      </c:pt>
                      <c:pt idx="18">
                        <c:v>45065</c:v>
                      </c:pt>
                      <c:pt idx="19">
                        <c:v>45066</c:v>
                      </c:pt>
                      <c:pt idx="20">
                        <c:v>45067</c:v>
                      </c:pt>
                      <c:pt idx="21">
                        <c:v>45068</c:v>
                      </c:pt>
                      <c:pt idx="22">
                        <c:v>45069</c:v>
                      </c:pt>
                      <c:pt idx="23">
                        <c:v>45070</c:v>
                      </c:pt>
                      <c:pt idx="24">
                        <c:v>45071</c:v>
                      </c:pt>
                      <c:pt idx="25">
                        <c:v>45072</c:v>
                      </c:pt>
                      <c:pt idx="26">
                        <c:v>45073</c:v>
                      </c:pt>
                      <c:pt idx="27">
                        <c:v>45074</c:v>
                      </c:pt>
                      <c:pt idx="28">
                        <c:v>45075</c:v>
                      </c:pt>
                      <c:pt idx="29">
                        <c:v>45076</c:v>
                      </c:pt>
                      <c:pt idx="30">
                        <c:v>45077</c:v>
                      </c:pt>
                      <c:pt idx="31">
                        <c:v>45078</c:v>
                      </c:pt>
                      <c:pt idx="32">
                        <c:v>45079</c:v>
                      </c:pt>
                      <c:pt idx="33">
                        <c:v>45080</c:v>
                      </c:pt>
                      <c:pt idx="34">
                        <c:v>45081</c:v>
                      </c:pt>
                      <c:pt idx="35">
                        <c:v>45082</c:v>
                      </c:pt>
                      <c:pt idx="36">
                        <c:v>45083</c:v>
                      </c:pt>
                      <c:pt idx="37">
                        <c:v>45084</c:v>
                      </c:pt>
                      <c:pt idx="38">
                        <c:v>45085</c:v>
                      </c:pt>
                      <c:pt idx="39">
                        <c:v>45086</c:v>
                      </c:pt>
                      <c:pt idx="40">
                        <c:v>45087</c:v>
                      </c:pt>
                      <c:pt idx="41">
                        <c:v>45088</c:v>
                      </c:pt>
                      <c:pt idx="42">
                        <c:v>45089</c:v>
                      </c:pt>
                      <c:pt idx="43">
                        <c:v>45090</c:v>
                      </c:pt>
                      <c:pt idx="44">
                        <c:v>45091</c:v>
                      </c:pt>
                      <c:pt idx="45">
                        <c:v>45092</c:v>
                      </c:pt>
                      <c:pt idx="46">
                        <c:v>45093</c:v>
                      </c:pt>
                      <c:pt idx="47">
                        <c:v>45094</c:v>
                      </c:pt>
                      <c:pt idx="48">
                        <c:v>45095</c:v>
                      </c:pt>
                      <c:pt idx="49">
                        <c:v>45096</c:v>
                      </c:pt>
                      <c:pt idx="50">
                        <c:v>45097</c:v>
                      </c:pt>
                      <c:pt idx="51">
                        <c:v>45098</c:v>
                      </c:pt>
                      <c:pt idx="52">
                        <c:v>45099</c:v>
                      </c:pt>
                      <c:pt idx="53">
                        <c:v>45100</c:v>
                      </c:pt>
                      <c:pt idx="54">
                        <c:v>45101</c:v>
                      </c:pt>
                      <c:pt idx="55">
                        <c:v>45102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'2.5 Noise'!$E$4:$E$59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3" formatCode="0.00">
                        <c:v>260.07142857142856</c:v>
                      </c:pt>
                      <c:pt idx="4" formatCode="0.00">
                        <c:v>-125.4081632653061</c:v>
                      </c:pt>
                      <c:pt idx="5" formatCode="0.00">
                        <c:v>-628.65306122448976</c:v>
                      </c:pt>
                      <c:pt idx="6" formatCode="0.00">
                        <c:v>-707.67346938775506</c:v>
                      </c:pt>
                      <c:pt idx="7" formatCode="0.00">
                        <c:v>429.83673469387759</c:v>
                      </c:pt>
                      <c:pt idx="8" formatCode="0.00">
                        <c:v>265.08163265306132</c:v>
                      </c:pt>
                      <c:pt idx="9" formatCode="0.00">
                        <c:v>458.57142857142856</c:v>
                      </c:pt>
                      <c:pt idx="10" formatCode="0.00">
                        <c:v>260.07142857142856</c:v>
                      </c:pt>
                      <c:pt idx="11" formatCode="0.00">
                        <c:v>-125.4081632653061</c:v>
                      </c:pt>
                      <c:pt idx="12" formatCode="0.00">
                        <c:v>-628.65306122448976</c:v>
                      </c:pt>
                      <c:pt idx="13" formatCode="0.00">
                        <c:v>-707.67346938775506</c:v>
                      </c:pt>
                      <c:pt idx="14" formatCode="0.00">
                        <c:v>429.83673469387759</c:v>
                      </c:pt>
                      <c:pt idx="15" formatCode="0.00">
                        <c:v>265.08163265306132</c:v>
                      </c:pt>
                      <c:pt idx="16" formatCode="0.00">
                        <c:v>458.57142857142856</c:v>
                      </c:pt>
                      <c:pt idx="17" formatCode="0.00">
                        <c:v>260.07142857142856</c:v>
                      </c:pt>
                      <c:pt idx="18" formatCode="0.00">
                        <c:v>-125.4081632653061</c:v>
                      </c:pt>
                      <c:pt idx="19" formatCode="0.00">
                        <c:v>-628.65306122448976</c:v>
                      </c:pt>
                      <c:pt idx="20" formatCode="0.00">
                        <c:v>-707.67346938775506</c:v>
                      </c:pt>
                      <c:pt idx="21" formatCode="0.00">
                        <c:v>429.83673469387759</c:v>
                      </c:pt>
                      <c:pt idx="22" formatCode="0.00">
                        <c:v>265.08163265306132</c:v>
                      </c:pt>
                      <c:pt idx="23" formatCode="0.00">
                        <c:v>458.57142857142856</c:v>
                      </c:pt>
                      <c:pt idx="24" formatCode="0.00">
                        <c:v>260.07142857142856</c:v>
                      </c:pt>
                      <c:pt idx="25" formatCode="0.00">
                        <c:v>-125.4081632653061</c:v>
                      </c:pt>
                      <c:pt idx="26" formatCode="0.00">
                        <c:v>-628.65306122448976</c:v>
                      </c:pt>
                      <c:pt idx="27" formatCode="0.00">
                        <c:v>-707.67346938775506</c:v>
                      </c:pt>
                      <c:pt idx="28" formatCode="0.00">
                        <c:v>429.83673469387759</c:v>
                      </c:pt>
                      <c:pt idx="29" formatCode="0.00">
                        <c:v>265.08163265306132</c:v>
                      </c:pt>
                      <c:pt idx="30" formatCode="0.00">
                        <c:v>458.57142857142856</c:v>
                      </c:pt>
                      <c:pt idx="31" formatCode="0.00">
                        <c:v>260.07142857142856</c:v>
                      </c:pt>
                      <c:pt idx="32" formatCode="0.00">
                        <c:v>-125.4081632653061</c:v>
                      </c:pt>
                      <c:pt idx="33" formatCode="0.00">
                        <c:v>-628.65306122448976</c:v>
                      </c:pt>
                      <c:pt idx="34" formatCode="0.00">
                        <c:v>-707.67346938775506</c:v>
                      </c:pt>
                      <c:pt idx="35" formatCode="0.00">
                        <c:v>429.83673469387759</c:v>
                      </c:pt>
                      <c:pt idx="36" formatCode="0.00">
                        <c:v>265.08163265306132</c:v>
                      </c:pt>
                      <c:pt idx="37" formatCode="0.00">
                        <c:v>458.57142857142856</c:v>
                      </c:pt>
                      <c:pt idx="38" formatCode="0.00">
                        <c:v>260.07142857142856</c:v>
                      </c:pt>
                      <c:pt idx="39" formatCode="0.00">
                        <c:v>-125.4081632653061</c:v>
                      </c:pt>
                      <c:pt idx="40" formatCode="0.00">
                        <c:v>-628.65306122448976</c:v>
                      </c:pt>
                      <c:pt idx="41" formatCode="0.00">
                        <c:v>-707.67346938775506</c:v>
                      </c:pt>
                      <c:pt idx="42" formatCode="0.00">
                        <c:v>429.83673469387759</c:v>
                      </c:pt>
                      <c:pt idx="43" formatCode="0.00">
                        <c:v>265.08163265306132</c:v>
                      </c:pt>
                      <c:pt idx="44" formatCode="0.00">
                        <c:v>458.57142857142856</c:v>
                      </c:pt>
                      <c:pt idx="45" formatCode="0.00">
                        <c:v>260.07142857142856</c:v>
                      </c:pt>
                      <c:pt idx="46" formatCode="0.00">
                        <c:v>-125.4081632653061</c:v>
                      </c:pt>
                      <c:pt idx="47" formatCode="0.00">
                        <c:v>-628.65306122448976</c:v>
                      </c:pt>
                      <c:pt idx="48" formatCode="0.00">
                        <c:v>-707.67346938775506</c:v>
                      </c:pt>
                      <c:pt idx="49" formatCode="0.00">
                        <c:v>429.83673469387759</c:v>
                      </c:pt>
                      <c:pt idx="50" formatCode="0.00">
                        <c:v>265.08163265306132</c:v>
                      </c:pt>
                      <c:pt idx="51" formatCode="0.00">
                        <c:v>458.57142857142856</c:v>
                      </c:pt>
                      <c:pt idx="52" formatCode="0.00">
                        <c:v>260.07142857142856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A97-4980-9BD4-55C6C11D0BA7}"/>
                  </c:ext>
                </c:extLst>
              </c15:ser>
            </c15:filteredLineSeries>
          </c:ext>
        </c:extLst>
      </c:lineChart>
      <c:dateAx>
        <c:axId val="1441031007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41021887"/>
        <c:crosses val="autoZero"/>
        <c:auto val="1"/>
        <c:lblOffset val="100"/>
        <c:baseTimeUnit val="days"/>
      </c:dateAx>
      <c:valAx>
        <c:axId val="14410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4103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</a:t>
            </a:r>
            <a:r>
              <a:rPr lang="en-US" baseline="0"/>
              <a:t> Naive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8.1281833014116484E-2"/>
          <c:y val="0.15952688172043011"/>
          <c:w val="0.90070014896786554"/>
          <c:h val="0.56931843197019727"/>
        </c:manualLayout>
      </c:layout>
      <c:lineChart>
        <c:grouping val="standard"/>
        <c:varyColors val="0"/>
        <c:ser>
          <c:idx val="0"/>
          <c:order val="0"/>
          <c:tx>
            <c:strRef>
              <c:f>'3.1 Seasonal Naive'!$F$2</c:f>
              <c:strCache>
                <c:ptCount val="1"/>
                <c:pt idx="0">
                  <c:v>Seasonal Naïve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'3.1 Seasonal Naive'!$B$3:$B$58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'3.1 Seasonal Naive'!$F$3:$F$58</c:f>
              <c:numCache>
                <c:formatCode>General</c:formatCode>
                <c:ptCount val="56"/>
                <c:pt idx="7" formatCode="_-* #,##0_-;\-* #,##0_-;_-* &quot;-&quot;??_-;_-@_-">
                  <c:v>1576</c:v>
                </c:pt>
                <c:pt idx="8" formatCode="_-* #,##0_-;\-* #,##0_-;_-* &quot;-&quot;??_-;_-@_-">
                  <c:v>2299</c:v>
                </c:pt>
                <c:pt idx="9" formatCode="_-* #,##0_-;\-* #,##0_-;_-* &quot;-&quot;??_-;_-@_-">
                  <c:v>1878</c:v>
                </c:pt>
                <c:pt idx="10" formatCode="_-* #,##0_-;\-* #,##0_-;_-* &quot;-&quot;??_-;_-@_-">
                  <c:v>1628</c:v>
                </c:pt>
                <c:pt idx="11" formatCode="_-* #,##0_-;\-* #,##0_-;_-* &quot;-&quot;??_-;_-@_-">
                  <c:v>1555</c:v>
                </c:pt>
                <c:pt idx="12" formatCode="_-* #,##0_-;\-* #,##0_-;_-* &quot;-&quot;??_-;_-@_-">
                  <c:v>1240</c:v>
                </c:pt>
                <c:pt idx="13" formatCode="_-* #,##0_-;\-* #,##0_-;_-* &quot;-&quot;??_-;_-@_-">
                  <c:v>864</c:v>
                </c:pt>
                <c:pt idx="14" formatCode="_-* #,##0_-;\-* #,##0_-;_-* &quot;-&quot;??_-;_-@_-">
                  <c:v>1882</c:v>
                </c:pt>
                <c:pt idx="15" formatCode="_-* #,##0_-;\-* #,##0_-;_-* &quot;-&quot;??_-;_-@_-">
                  <c:v>2306</c:v>
                </c:pt>
                <c:pt idx="16" formatCode="_-* #,##0_-;\-* #,##0_-;_-* &quot;-&quot;??_-;_-@_-">
                  <c:v>1988</c:v>
                </c:pt>
                <c:pt idx="17" formatCode="_-* #,##0_-;\-* #,##0_-;_-* &quot;-&quot;??_-;_-@_-">
                  <c:v>1886</c:v>
                </c:pt>
                <c:pt idx="18" formatCode="_-* #,##0_-;\-* #,##0_-;_-* &quot;-&quot;??_-;_-@_-">
                  <c:v>1365</c:v>
                </c:pt>
                <c:pt idx="19" formatCode="_-* #,##0_-;\-* #,##0_-;_-* &quot;-&quot;??_-;_-@_-">
                  <c:v>998</c:v>
                </c:pt>
                <c:pt idx="20" formatCode="_-* #,##0_-;\-* #,##0_-;_-* &quot;-&quot;??_-;_-@_-">
                  <c:v>1052</c:v>
                </c:pt>
                <c:pt idx="21" formatCode="_-* #,##0_-;\-* #,##0_-;_-* &quot;-&quot;??_-;_-@_-">
                  <c:v>1905</c:v>
                </c:pt>
                <c:pt idx="22" formatCode="_-* #,##0_-;\-* #,##0_-;_-* &quot;-&quot;??_-;_-@_-">
                  <c:v>1767</c:v>
                </c:pt>
                <c:pt idx="23" formatCode="_-* #,##0_-;\-* #,##0_-;_-* &quot;-&quot;??_-;_-@_-">
                  <c:v>1911</c:v>
                </c:pt>
                <c:pt idx="24" formatCode="_-* #,##0_-;\-* #,##0_-;_-* &quot;-&quot;??_-;_-@_-">
                  <c:v>2036</c:v>
                </c:pt>
                <c:pt idx="25" formatCode="_-* #,##0_-;\-* #,##0_-;_-* &quot;-&quot;??_-;_-@_-">
                  <c:v>1428</c:v>
                </c:pt>
                <c:pt idx="26" formatCode="_-* #,##0_-;\-* #,##0_-;_-* &quot;-&quot;??_-;_-@_-">
                  <c:v>1008</c:v>
                </c:pt>
                <c:pt idx="27" formatCode="_-* #,##0_-;\-* #,##0_-;_-* &quot;-&quot;??_-;_-@_-">
                  <c:v>1082</c:v>
                </c:pt>
                <c:pt idx="28" formatCode="_-* #,##0_-;\-* #,##0_-;_-* &quot;-&quot;??_-;_-@_-">
                  <c:v>1921</c:v>
                </c:pt>
                <c:pt idx="29" formatCode="_-* #,##0_-;\-* #,##0_-;_-* &quot;-&quot;??_-;_-@_-">
                  <c:v>1780</c:v>
                </c:pt>
                <c:pt idx="30" formatCode="_-* #,##0_-;\-* #,##0_-;_-* &quot;-&quot;??_-;_-@_-">
                  <c:v>2071</c:v>
                </c:pt>
                <c:pt idx="31" formatCode="_-* #,##0_-;\-* #,##0_-;_-* &quot;-&quot;??_-;_-@_-">
                  <c:v>1813</c:v>
                </c:pt>
                <c:pt idx="32" formatCode="_-* #,##0_-;\-* #,##0_-;_-* &quot;-&quot;??_-;_-@_-">
                  <c:v>1780</c:v>
                </c:pt>
                <c:pt idx="33" formatCode="_-* #,##0_-;\-* #,##0_-;_-* &quot;-&quot;??_-;_-@_-">
                  <c:v>1236</c:v>
                </c:pt>
                <c:pt idx="34" formatCode="_-* #,##0_-;\-* #,##0_-;_-* &quot;-&quot;??_-;_-@_-">
                  <c:v>1082</c:v>
                </c:pt>
                <c:pt idx="35" formatCode="_-* #,##0_-;\-* #,##0_-;_-* &quot;-&quot;??_-;_-@_-">
                  <c:v>1777</c:v>
                </c:pt>
                <c:pt idx="36" formatCode="_-* #,##0_-;\-* #,##0_-;_-* &quot;-&quot;??_-;_-@_-">
                  <c:v>1766</c:v>
                </c:pt>
                <c:pt idx="37" formatCode="_-* #,##0_-;\-* #,##0_-;_-* &quot;-&quot;??_-;_-@_-">
                  <c:v>1884</c:v>
                </c:pt>
                <c:pt idx="38" formatCode="_-* #,##0_-;\-* #,##0_-;_-* &quot;-&quot;??_-;_-@_-">
                  <c:v>1780</c:v>
                </c:pt>
                <c:pt idx="39" formatCode="_-* #,##0_-;\-* #,##0_-;_-* &quot;-&quot;??_-;_-@_-">
                  <c:v>1572</c:v>
                </c:pt>
                <c:pt idx="40" formatCode="_-* #,##0_-;\-* #,##0_-;_-* &quot;-&quot;??_-;_-@_-">
                  <c:v>948</c:v>
                </c:pt>
                <c:pt idx="41" formatCode="_-* #,##0_-;\-* #,##0_-;_-* &quot;-&quot;??_-;_-@_-">
                  <c:v>1085</c:v>
                </c:pt>
                <c:pt idx="42" formatCode="_-* #,##0_-;\-* #,##0_-;_-* &quot;-&quot;??_-;_-@_-">
                  <c:v>2917</c:v>
                </c:pt>
                <c:pt idx="43" formatCode="_-* #,##0_-;\-* #,##0_-;_-* &quot;-&quot;??_-;_-@_-">
                  <c:v>2801</c:v>
                </c:pt>
                <c:pt idx="44" formatCode="_-* #,##0_-;\-* #,##0_-;_-* &quot;-&quot;??_-;_-@_-">
                  <c:v>3075</c:v>
                </c:pt>
                <c:pt idx="45" formatCode="_-* #,##0_-;\-* #,##0_-;_-* &quot;-&quot;??_-;_-@_-">
                  <c:v>2737</c:v>
                </c:pt>
                <c:pt idx="46" formatCode="_-* #,##0_-;\-* #,##0_-;_-* &quot;-&quot;??_-;_-@_-">
                  <c:v>2329</c:v>
                </c:pt>
                <c:pt idx="47" formatCode="_-* #,##0_-;\-* #,##0_-;_-* &quot;-&quot;??_-;_-@_-">
                  <c:v>1540</c:v>
                </c:pt>
                <c:pt idx="48" formatCode="_-* #,##0_-;\-* #,##0_-;_-* &quot;-&quot;??_-;_-@_-">
                  <c:v>1787</c:v>
                </c:pt>
                <c:pt idx="49" formatCode="_-* #,##0_-;\-* #,##0_-;_-* &quot;-&quot;??_-;_-@_-">
                  <c:v>3102</c:v>
                </c:pt>
                <c:pt idx="50" formatCode="_-* #,##0_-;\-* #,##0_-;_-* &quot;-&quot;??_-;_-@_-">
                  <c:v>2403</c:v>
                </c:pt>
                <c:pt idx="51" formatCode="_-* #,##0_-;\-* #,##0_-;_-* &quot;-&quot;??_-;_-@_-">
                  <c:v>2927</c:v>
                </c:pt>
                <c:pt idx="52" formatCode="_-* #,##0_-;\-* #,##0_-;_-* &quot;-&quot;??_-;_-@_-">
                  <c:v>3213</c:v>
                </c:pt>
                <c:pt idx="53" formatCode="_-* #,##0_-;\-* #,##0_-;_-* &quot;-&quot;??_-;_-@_-">
                  <c:v>2194</c:v>
                </c:pt>
                <c:pt idx="54" formatCode="_-* #,##0_-;\-* #,##0_-;_-* &quot;-&quot;??_-;_-@_-">
                  <c:v>1780</c:v>
                </c:pt>
                <c:pt idx="55" formatCode="_-* #,##0_-;\-* #,##0_-;_-* &quot;-&quot;??_-;_-@_-">
                  <c:v>1408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F-481A-92E5-1B944B25D12A}"/>
            </c:ext>
          </c:extLst>
        </c:ser>
        <c:ser>
          <c:idx val="1"/>
          <c:order val="1"/>
          <c:tx>
            <c:strRef>
              <c:f>'3.1 Seasonal Naive'!$C$2</c:f>
              <c:strCache>
                <c:ptCount val="1"/>
                <c:pt idx="0">
                  <c:v>New Calls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'3.1 Seasonal Naive'!$C$3:$C$58</c:f>
              <c:numCache>
                <c:formatCode>_-* #,##0_-;\-* #,##0_-;_-* "-"??_-;_-@_-</c:formatCode>
                <c:ptCount val="56"/>
                <c:pt idx="0">
                  <c:v>1576</c:v>
                </c:pt>
                <c:pt idx="1">
                  <c:v>2299</c:v>
                </c:pt>
                <c:pt idx="2">
                  <c:v>1878</c:v>
                </c:pt>
                <c:pt idx="3">
                  <c:v>1628</c:v>
                </c:pt>
                <c:pt idx="4">
                  <c:v>1555</c:v>
                </c:pt>
                <c:pt idx="5">
                  <c:v>1240</c:v>
                </c:pt>
                <c:pt idx="6">
                  <c:v>864</c:v>
                </c:pt>
                <c:pt idx="7">
                  <c:v>1882</c:v>
                </c:pt>
                <c:pt idx="8">
                  <c:v>2306</c:v>
                </c:pt>
                <c:pt idx="9">
                  <c:v>1988</c:v>
                </c:pt>
                <c:pt idx="10">
                  <c:v>1886</c:v>
                </c:pt>
                <c:pt idx="11">
                  <c:v>1365</c:v>
                </c:pt>
                <c:pt idx="12">
                  <c:v>998</c:v>
                </c:pt>
                <c:pt idx="13">
                  <c:v>1052</c:v>
                </c:pt>
                <c:pt idx="14">
                  <c:v>1905</c:v>
                </c:pt>
                <c:pt idx="15">
                  <c:v>1767</c:v>
                </c:pt>
                <c:pt idx="16">
                  <c:v>1911</c:v>
                </c:pt>
                <c:pt idx="17">
                  <c:v>2036</c:v>
                </c:pt>
                <c:pt idx="18">
                  <c:v>1428</c:v>
                </c:pt>
                <c:pt idx="19">
                  <c:v>1008</c:v>
                </c:pt>
                <c:pt idx="20">
                  <c:v>1082</c:v>
                </c:pt>
                <c:pt idx="21">
                  <c:v>1921</c:v>
                </c:pt>
                <c:pt idx="22">
                  <c:v>1780</c:v>
                </c:pt>
                <c:pt idx="23">
                  <c:v>2071</c:v>
                </c:pt>
                <c:pt idx="24">
                  <c:v>1813</c:v>
                </c:pt>
                <c:pt idx="25">
                  <c:v>1780</c:v>
                </c:pt>
                <c:pt idx="26">
                  <c:v>1236</c:v>
                </c:pt>
                <c:pt idx="27">
                  <c:v>1082</c:v>
                </c:pt>
                <c:pt idx="28">
                  <c:v>1777</c:v>
                </c:pt>
                <c:pt idx="29">
                  <c:v>1766</c:v>
                </c:pt>
                <c:pt idx="30">
                  <c:v>1884</c:v>
                </c:pt>
                <c:pt idx="31">
                  <c:v>1780</c:v>
                </c:pt>
                <c:pt idx="32">
                  <c:v>1572</c:v>
                </c:pt>
                <c:pt idx="33">
                  <c:v>948</c:v>
                </c:pt>
                <c:pt idx="34">
                  <c:v>1085</c:v>
                </c:pt>
                <c:pt idx="35">
                  <c:v>2917</c:v>
                </c:pt>
                <c:pt idx="36">
                  <c:v>2801</c:v>
                </c:pt>
                <c:pt idx="37">
                  <c:v>3075</c:v>
                </c:pt>
                <c:pt idx="38">
                  <c:v>2737</c:v>
                </c:pt>
                <c:pt idx="39">
                  <c:v>2329</c:v>
                </c:pt>
                <c:pt idx="40">
                  <c:v>1540</c:v>
                </c:pt>
                <c:pt idx="41">
                  <c:v>1787</c:v>
                </c:pt>
                <c:pt idx="42">
                  <c:v>3102</c:v>
                </c:pt>
                <c:pt idx="43">
                  <c:v>2403</c:v>
                </c:pt>
                <c:pt idx="44">
                  <c:v>2927</c:v>
                </c:pt>
                <c:pt idx="45">
                  <c:v>3213</c:v>
                </c:pt>
                <c:pt idx="46">
                  <c:v>2194</c:v>
                </c:pt>
                <c:pt idx="47">
                  <c:v>1780</c:v>
                </c:pt>
                <c:pt idx="48">
                  <c:v>1408</c:v>
                </c:pt>
                <c:pt idx="49">
                  <c:v>2920</c:v>
                </c:pt>
                <c:pt idx="50">
                  <c:v>2647</c:v>
                </c:pt>
                <c:pt idx="51">
                  <c:v>3020</c:v>
                </c:pt>
                <c:pt idx="52">
                  <c:v>2338</c:v>
                </c:pt>
                <c:pt idx="53">
                  <c:v>2950</c:v>
                </c:pt>
                <c:pt idx="54">
                  <c:v>1601</c:v>
                </c:pt>
                <c:pt idx="55">
                  <c:v>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F-481A-92E5-1B944B25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436704"/>
        <c:axId val="923438144"/>
      </c:lineChart>
      <c:dateAx>
        <c:axId val="923436704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23438144"/>
        <c:crosses val="autoZero"/>
        <c:auto val="1"/>
        <c:lblOffset val="100"/>
        <c:baseTimeUnit val="days"/>
      </c:dateAx>
      <c:valAx>
        <c:axId val="9234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234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</a:t>
            </a:r>
            <a:r>
              <a:rPr lang="en-US" baseline="0"/>
              <a:t> Average Forecasting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'3.2 Seasonal Average'!$C$2</c:f>
              <c:strCache>
                <c:ptCount val="1"/>
                <c:pt idx="0">
                  <c:v>New Calls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'3.2 Seasonal Average'!$B$3:$B$58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'3.2 Seasonal Average'!$C$3:$C$58</c:f>
              <c:numCache>
                <c:formatCode>_-* #,##0_-;\-* #,##0_-;_-* "-"??_-;_-@_-</c:formatCode>
                <c:ptCount val="56"/>
                <c:pt idx="0">
                  <c:v>1576</c:v>
                </c:pt>
                <c:pt idx="1">
                  <c:v>2299</c:v>
                </c:pt>
                <c:pt idx="2">
                  <c:v>1878</c:v>
                </c:pt>
                <c:pt idx="3">
                  <c:v>1628</c:v>
                </c:pt>
                <c:pt idx="4">
                  <c:v>1555</c:v>
                </c:pt>
                <c:pt idx="5">
                  <c:v>1240</c:v>
                </c:pt>
                <c:pt idx="6">
                  <c:v>864</c:v>
                </c:pt>
                <c:pt idx="7">
                  <c:v>1882</c:v>
                </c:pt>
                <c:pt idx="8">
                  <c:v>2306</c:v>
                </c:pt>
                <c:pt idx="9">
                  <c:v>1988</c:v>
                </c:pt>
                <c:pt idx="10">
                  <c:v>1886</c:v>
                </c:pt>
                <c:pt idx="11">
                  <c:v>1365</c:v>
                </c:pt>
                <c:pt idx="12">
                  <c:v>998</c:v>
                </c:pt>
                <c:pt idx="13">
                  <c:v>1052</c:v>
                </c:pt>
                <c:pt idx="14">
                  <c:v>1905</c:v>
                </c:pt>
                <c:pt idx="15">
                  <c:v>1767</c:v>
                </c:pt>
                <c:pt idx="16">
                  <c:v>1911</c:v>
                </c:pt>
                <c:pt idx="17">
                  <c:v>2036</c:v>
                </c:pt>
                <c:pt idx="18">
                  <c:v>1428</c:v>
                </c:pt>
                <c:pt idx="19">
                  <c:v>1008</c:v>
                </c:pt>
                <c:pt idx="20">
                  <c:v>1082</c:v>
                </c:pt>
                <c:pt idx="21">
                  <c:v>1921</c:v>
                </c:pt>
                <c:pt idx="22">
                  <c:v>1780</c:v>
                </c:pt>
                <c:pt idx="23">
                  <c:v>2071</c:v>
                </c:pt>
                <c:pt idx="24">
                  <c:v>1813</c:v>
                </c:pt>
                <c:pt idx="25">
                  <c:v>1780</c:v>
                </c:pt>
                <c:pt idx="26">
                  <c:v>1236</c:v>
                </c:pt>
                <c:pt idx="27">
                  <c:v>1082</c:v>
                </c:pt>
                <c:pt idx="28">
                  <c:v>1777</c:v>
                </c:pt>
                <c:pt idx="29">
                  <c:v>1766</c:v>
                </c:pt>
                <c:pt idx="30">
                  <c:v>1884</c:v>
                </c:pt>
                <c:pt idx="31">
                  <c:v>1780</c:v>
                </c:pt>
                <c:pt idx="32">
                  <c:v>1572</c:v>
                </c:pt>
                <c:pt idx="33">
                  <c:v>948</c:v>
                </c:pt>
                <c:pt idx="34">
                  <c:v>1085</c:v>
                </c:pt>
                <c:pt idx="35">
                  <c:v>2917</c:v>
                </c:pt>
                <c:pt idx="36">
                  <c:v>2801</c:v>
                </c:pt>
                <c:pt idx="37">
                  <c:v>3075</c:v>
                </c:pt>
                <c:pt idx="38">
                  <c:v>2737</c:v>
                </c:pt>
                <c:pt idx="39">
                  <c:v>2329</c:v>
                </c:pt>
                <c:pt idx="40">
                  <c:v>1540</c:v>
                </c:pt>
                <c:pt idx="41">
                  <c:v>1787</c:v>
                </c:pt>
                <c:pt idx="42">
                  <c:v>3102</c:v>
                </c:pt>
                <c:pt idx="43">
                  <c:v>2403</c:v>
                </c:pt>
                <c:pt idx="44">
                  <c:v>2927</c:v>
                </c:pt>
                <c:pt idx="45">
                  <c:v>3213</c:v>
                </c:pt>
                <c:pt idx="46">
                  <c:v>2194</c:v>
                </c:pt>
                <c:pt idx="47">
                  <c:v>1780</c:v>
                </c:pt>
                <c:pt idx="48">
                  <c:v>1408</c:v>
                </c:pt>
                <c:pt idx="49">
                  <c:v>2920</c:v>
                </c:pt>
                <c:pt idx="50">
                  <c:v>2647</c:v>
                </c:pt>
                <c:pt idx="51">
                  <c:v>3020</c:v>
                </c:pt>
                <c:pt idx="52">
                  <c:v>2338</c:v>
                </c:pt>
                <c:pt idx="53">
                  <c:v>2950</c:v>
                </c:pt>
                <c:pt idx="54">
                  <c:v>1601</c:v>
                </c:pt>
                <c:pt idx="55">
                  <c:v>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D-4DEA-91AC-8D7FFE2C921B}"/>
            </c:ext>
          </c:extLst>
        </c:ser>
        <c:ser>
          <c:idx val="1"/>
          <c:order val="1"/>
          <c:tx>
            <c:strRef>
              <c:f>'3.2 Seasonal Average'!$F$2</c:f>
              <c:strCache>
                <c:ptCount val="1"/>
                <c:pt idx="0">
                  <c:v>Seasonal Average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'3.2 Seasonal Average'!$F$3:$F$58</c:f>
              <c:numCache>
                <c:formatCode>General</c:formatCode>
                <c:ptCount val="56"/>
                <c:pt idx="7" formatCode="_-* #,##0_-;\-* #,##0_-;_-* &quot;-&quot;??_-;_-@_-">
                  <c:v>1576</c:v>
                </c:pt>
                <c:pt idx="8" formatCode="_-* #,##0_-;\-* #,##0_-;_-* &quot;-&quot;??_-;_-@_-">
                  <c:v>2299</c:v>
                </c:pt>
                <c:pt idx="9" formatCode="_-* #,##0_-;\-* #,##0_-;_-* &quot;-&quot;??_-;_-@_-">
                  <c:v>1878</c:v>
                </c:pt>
                <c:pt idx="10" formatCode="_-* #,##0_-;\-* #,##0_-;_-* &quot;-&quot;??_-;_-@_-">
                  <c:v>1628</c:v>
                </c:pt>
                <c:pt idx="11" formatCode="_-* #,##0_-;\-* #,##0_-;_-* &quot;-&quot;??_-;_-@_-">
                  <c:v>1555</c:v>
                </c:pt>
                <c:pt idx="12" formatCode="_-* #,##0_-;\-* #,##0_-;_-* &quot;-&quot;??_-;_-@_-">
                  <c:v>1240</c:v>
                </c:pt>
                <c:pt idx="13" formatCode="_-* #,##0_-;\-* #,##0_-;_-* &quot;-&quot;??_-;_-@_-">
                  <c:v>864</c:v>
                </c:pt>
                <c:pt idx="14" formatCode="_-* #,##0_-;\-* #,##0_-;_-* &quot;-&quot;??_-;_-@_-">
                  <c:v>1729</c:v>
                </c:pt>
                <c:pt idx="15" formatCode="_-* #,##0_-;\-* #,##0_-;_-* &quot;-&quot;??_-;_-@_-">
                  <c:v>2302.5</c:v>
                </c:pt>
                <c:pt idx="16" formatCode="_-* #,##0_-;\-* #,##0_-;_-* &quot;-&quot;??_-;_-@_-">
                  <c:v>1933</c:v>
                </c:pt>
                <c:pt idx="17" formatCode="_-* #,##0_-;\-* #,##0_-;_-* &quot;-&quot;??_-;_-@_-">
                  <c:v>1757</c:v>
                </c:pt>
                <c:pt idx="18" formatCode="_-* #,##0_-;\-* #,##0_-;_-* &quot;-&quot;??_-;_-@_-">
                  <c:v>1460</c:v>
                </c:pt>
                <c:pt idx="19" formatCode="_-* #,##0_-;\-* #,##0_-;_-* &quot;-&quot;??_-;_-@_-">
                  <c:v>1119</c:v>
                </c:pt>
                <c:pt idx="20" formatCode="_-* #,##0_-;\-* #,##0_-;_-* &quot;-&quot;??_-;_-@_-">
                  <c:v>958</c:v>
                </c:pt>
                <c:pt idx="21" formatCode="_-* #,##0_-;\-* #,##0_-;_-* &quot;-&quot;??_-;_-@_-">
                  <c:v>1787.6666666666667</c:v>
                </c:pt>
                <c:pt idx="22" formatCode="_-* #,##0_-;\-* #,##0_-;_-* &quot;-&quot;??_-;_-@_-">
                  <c:v>2124</c:v>
                </c:pt>
                <c:pt idx="23" formatCode="_-* #,##0_-;\-* #,##0_-;_-* &quot;-&quot;??_-;_-@_-">
                  <c:v>1925.6666666666667</c:v>
                </c:pt>
                <c:pt idx="24" formatCode="_-* #,##0_-;\-* #,##0_-;_-* &quot;-&quot;??_-;_-@_-">
                  <c:v>1850</c:v>
                </c:pt>
                <c:pt idx="25" formatCode="_-* #,##0_-;\-* #,##0_-;_-* &quot;-&quot;??_-;_-@_-">
                  <c:v>1449.3333333333333</c:v>
                </c:pt>
                <c:pt idx="26" formatCode="_-* #,##0_-;\-* #,##0_-;_-* &quot;-&quot;??_-;_-@_-">
                  <c:v>1082</c:v>
                </c:pt>
                <c:pt idx="27" formatCode="_-* #,##0_-;\-* #,##0_-;_-* &quot;-&quot;??_-;_-@_-">
                  <c:v>999.33333333333337</c:v>
                </c:pt>
                <c:pt idx="28" formatCode="_-* #,##0_-;\-* #,##0_-;_-* &quot;-&quot;??_-;_-@_-">
                  <c:v>1821</c:v>
                </c:pt>
                <c:pt idx="29" formatCode="_-* #,##0_-;\-* #,##0_-;_-* &quot;-&quot;??_-;_-@_-">
                  <c:v>2038</c:v>
                </c:pt>
                <c:pt idx="30" formatCode="_-* #,##0_-;\-* #,##0_-;_-* &quot;-&quot;??_-;_-@_-">
                  <c:v>1962</c:v>
                </c:pt>
                <c:pt idx="31" formatCode="_-* #,##0_-;\-* #,##0_-;_-* &quot;-&quot;??_-;_-@_-">
                  <c:v>1840.75</c:v>
                </c:pt>
                <c:pt idx="32" formatCode="_-* #,##0_-;\-* #,##0_-;_-* &quot;-&quot;??_-;_-@_-">
                  <c:v>1532</c:v>
                </c:pt>
                <c:pt idx="33" formatCode="_-* #,##0_-;\-* #,##0_-;_-* &quot;-&quot;??_-;_-@_-">
                  <c:v>1120.5</c:v>
                </c:pt>
                <c:pt idx="34" formatCode="_-* #,##0_-;\-* #,##0_-;_-* &quot;-&quot;??_-;_-@_-">
                  <c:v>1020</c:v>
                </c:pt>
                <c:pt idx="35" formatCode="_-* #,##0_-;\-* #,##0_-;_-* &quot;-&quot;??_-;_-@_-">
                  <c:v>1812.2</c:v>
                </c:pt>
                <c:pt idx="36" formatCode="_-* #,##0_-;\-* #,##0_-;_-* &quot;-&quot;??_-;_-@_-">
                  <c:v>1983.6</c:v>
                </c:pt>
                <c:pt idx="37" formatCode="_-* #,##0_-;\-* #,##0_-;_-* &quot;-&quot;??_-;_-@_-">
                  <c:v>1946.4</c:v>
                </c:pt>
                <c:pt idx="38" formatCode="_-* #,##0_-;\-* #,##0_-;_-* &quot;-&quot;??_-;_-@_-">
                  <c:v>1828.6</c:v>
                </c:pt>
                <c:pt idx="39" formatCode="_-* #,##0_-;\-* #,##0_-;_-* &quot;-&quot;??_-;_-@_-">
                  <c:v>1540</c:v>
                </c:pt>
                <c:pt idx="40" formatCode="_-* #,##0_-;\-* #,##0_-;_-* &quot;-&quot;??_-;_-@_-">
                  <c:v>1086</c:v>
                </c:pt>
                <c:pt idx="41" formatCode="_-* #,##0_-;\-* #,##0_-;_-* &quot;-&quot;??_-;_-@_-">
                  <c:v>1033</c:v>
                </c:pt>
                <c:pt idx="42" formatCode="_-* #,##0_-;\-* #,##0_-;_-* &quot;-&quot;??_-;_-@_-">
                  <c:v>1996.3333333333333</c:v>
                </c:pt>
                <c:pt idx="43" formatCode="_-* #,##0_-;\-* #,##0_-;_-* &quot;-&quot;??_-;_-@_-">
                  <c:v>2119.8333333333335</c:v>
                </c:pt>
                <c:pt idx="44" formatCode="_-* #,##0_-;\-* #,##0_-;_-* &quot;-&quot;??_-;_-@_-">
                  <c:v>2134.5</c:v>
                </c:pt>
                <c:pt idx="45" formatCode="_-* #,##0_-;\-* #,##0_-;_-* &quot;-&quot;??_-;_-@_-">
                  <c:v>1980</c:v>
                </c:pt>
                <c:pt idx="46" formatCode="_-* #,##0_-;\-* #,##0_-;_-* &quot;-&quot;??_-;_-@_-">
                  <c:v>1671.5</c:v>
                </c:pt>
                <c:pt idx="47" formatCode="_-* #,##0_-;\-* #,##0_-;_-* &quot;-&quot;??_-;_-@_-">
                  <c:v>1161.6666666666667</c:v>
                </c:pt>
                <c:pt idx="48" formatCode="_-* #,##0_-;\-* #,##0_-;_-* &quot;-&quot;??_-;_-@_-">
                  <c:v>1158.6666666666667</c:v>
                </c:pt>
                <c:pt idx="49" formatCode="_-* #,##0_-;\-* #,##0_-;_-* &quot;-&quot;??_-;_-@_-">
                  <c:v>2154.2857142857142</c:v>
                </c:pt>
                <c:pt idx="50" formatCode="_-* #,##0_-;\-* #,##0_-;_-* &quot;-&quot;??_-;_-@_-">
                  <c:v>2160.2857142857142</c:v>
                </c:pt>
                <c:pt idx="51" formatCode="_-* #,##0_-;\-* #,##0_-;_-* &quot;-&quot;??_-;_-@_-">
                  <c:v>2247.7142857142858</c:v>
                </c:pt>
                <c:pt idx="52" formatCode="_-* #,##0_-;\-* #,##0_-;_-* &quot;-&quot;??_-;_-@_-">
                  <c:v>2156.1428571428573</c:v>
                </c:pt>
                <c:pt idx="53" formatCode="_-* #,##0_-;\-* #,##0_-;_-* &quot;-&quot;??_-;_-@_-">
                  <c:v>1746.1428571428571</c:v>
                </c:pt>
                <c:pt idx="54" formatCode="_-* #,##0_-;\-* #,##0_-;_-* &quot;-&quot;??_-;_-@_-">
                  <c:v>1250</c:v>
                </c:pt>
                <c:pt idx="55" formatCode="_-* #,##0_-;\-* #,##0_-;_-* &quot;-&quot;??_-;_-@_-">
                  <c:v>1194.2857142857142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D-4DEA-91AC-8D7FFE2C9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320607"/>
        <c:axId val="1667792559"/>
      </c:lineChart>
      <c:dateAx>
        <c:axId val="1614320607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67792559"/>
        <c:crosses val="autoZero"/>
        <c:auto val="1"/>
        <c:lblOffset val="100"/>
        <c:baseTimeUnit val="days"/>
      </c:dateAx>
      <c:valAx>
        <c:axId val="166779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1432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</a:t>
            </a:r>
            <a:r>
              <a:rPr lang="en-US" baseline="0"/>
              <a:t> Exponential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'3.3 Seasonal Exponential'!$C$2</c:f>
              <c:strCache>
                <c:ptCount val="1"/>
                <c:pt idx="0">
                  <c:v>New Calls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'3.3 Seasonal Exponential'!$B$3:$B$58</c:f>
              <c:numCache>
                <c:formatCode>d\-mmm</c:formatCode>
                <c:ptCount val="56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  <c:pt idx="31">
                  <c:v>45078</c:v>
                </c:pt>
                <c:pt idx="32">
                  <c:v>45079</c:v>
                </c:pt>
                <c:pt idx="33">
                  <c:v>45080</c:v>
                </c:pt>
                <c:pt idx="34">
                  <c:v>45081</c:v>
                </c:pt>
                <c:pt idx="35">
                  <c:v>45082</c:v>
                </c:pt>
                <c:pt idx="36">
                  <c:v>45083</c:v>
                </c:pt>
                <c:pt idx="37">
                  <c:v>45084</c:v>
                </c:pt>
                <c:pt idx="38">
                  <c:v>45085</c:v>
                </c:pt>
                <c:pt idx="39">
                  <c:v>45086</c:v>
                </c:pt>
                <c:pt idx="40">
                  <c:v>45087</c:v>
                </c:pt>
                <c:pt idx="41">
                  <c:v>45088</c:v>
                </c:pt>
                <c:pt idx="42">
                  <c:v>45089</c:v>
                </c:pt>
                <c:pt idx="43">
                  <c:v>45090</c:v>
                </c:pt>
                <c:pt idx="44">
                  <c:v>45091</c:v>
                </c:pt>
                <c:pt idx="45">
                  <c:v>45092</c:v>
                </c:pt>
                <c:pt idx="46">
                  <c:v>45093</c:v>
                </c:pt>
                <c:pt idx="47">
                  <c:v>45094</c:v>
                </c:pt>
                <c:pt idx="48">
                  <c:v>45095</c:v>
                </c:pt>
                <c:pt idx="49">
                  <c:v>45096</c:v>
                </c:pt>
                <c:pt idx="50">
                  <c:v>45097</c:v>
                </c:pt>
                <c:pt idx="51">
                  <c:v>45098</c:v>
                </c:pt>
                <c:pt idx="52">
                  <c:v>45099</c:v>
                </c:pt>
                <c:pt idx="53">
                  <c:v>45100</c:v>
                </c:pt>
                <c:pt idx="54">
                  <c:v>45101</c:v>
                </c:pt>
                <c:pt idx="55">
                  <c:v>45102</c:v>
                </c:pt>
              </c:numCache>
            </c:numRef>
          </c:cat>
          <c:val>
            <c:numRef>
              <c:f>'3.3 Seasonal Exponential'!$C$3:$C$58</c:f>
              <c:numCache>
                <c:formatCode>_-* #,##0_-;\-* #,##0_-;_-* "-"??_-;_-@_-</c:formatCode>
                <c:ptCount val="56"/>
                <c:pt idx="0">
                  <c:v>1576</c:v>
                </c:pt>
                <c:pt idx="1">
                  <c:v>2299</c:v>
                </c:pt>
                <c:pt idx="2">
                  <c:v>1878</c:v>
                </c:pt>
                <c:pt idx="3">
                  <c:v>1628</c:v>
                </c:pt>
                <c:pt idx="4">
                  <c:v>1555</c:v>
                </c:pt>
                <c:pt idx="5">
                  <c:v>1240</c:v>
                </c:pt>
                <c:pt idx="6">
                  <c:v>864</c:v>
                </c:pt>
                <c:pt idx="7">
                  <c:v>1882</c:v>
                </c:pt>
                <c:pt idx="8">
                  <c:v>2306</c:v>
                </c:pt>
                <c:pt idx="9">
                  <c:v>1988</c:v>
                </c:pt>
                <c:pt idx="10">
                  <c:v>1886</c:v>
                </c:pt>
                <c:pt idx="11">
                  <c:v>1365</c:v>
                </c:pt>
                <c:pt idx="12">
                  <c:v>998</c:v>
                </c:pt>
                <c:pt idx="13">
                  <c:v>1052</c:v>
                </c:pt>
                <c:pt idx="14">
                  <c:v>1905</c:v>
                </c:pt>
                <c:pt idx="15">
                  <c:v>1767</c:v>
                </c:pt>
                <c:pt idx="16">
                  <c:v>1911</c:v>
                </c:pt>
                <c:pt idx="17">
                  <c:v>2036</c:v>
                </c:pt>
                <c:pt idx="18">
                  <c:v>1428</c:v>
                </c:pt>
                <c:pt idx="19">
                  <c:v>1008</c:v>
                </c:pt>
                <c:pt idx="20">
                  <c:v>1082</c:v>
                </c:pt>
                <c:pt idx="21">
                  <c:v>1921</c:v>
                </c:pt>
                <c:pt idx="22">
                  <c:v>1780</c:v>
                </c:pt>
                <c:pt idx="23">
                  <c:v>2071</c:v>
                </c:pt>
                <c:pt idx="24">
                  <c:v>1813</c:v>
                </c:pt>
                <c:pt idx="25">
                  <c:v>1780</c:v>
                </c:pt>
                <c:pt idx="26">
                  <c:v>1236</c:v>
                </c:pt>
                <c:pt idx="27">
                  <c:v>1082</c:v>
                </c:pt>
                <c:pt idx="28">
                  <c:v>1777</c:v>
                </c:pt>
                <c:pt idx="29">
                  <c:v>1766</c:v>
                </c:pt>
                <c:pt idx="30">
                  <c:v>1884</c:v>
                </c:pt>
                <c:pt idx="31">
                  <c:v>1780</c:v>
                </c:pt>
                <c:pt idx="32">
                  <c:v>1572</c:v>
                </c:pt>
                <c:pt idx="33">
                  <c:v>948</c:v>
                </c:pt>
                <c:pt idx="34">
                  <c:v>1085</c:v>
                </c:pt>
                <c:pt idx="35">
                  <c:v>2917</c:v>
                </c:pt>
                <c:pt idx="36">
                  <c:v>2801</c:v>
                </c:pt>
                <c:pt idx="37">
                  <c:v>3075</c:v>
                </c:pt>
                <c:pt idx="38">
                  <c:v>2737</c:v>
                </c:pt>
                <c:pt idx="39">
                  <c:v>2329</c:v>
                </c:pt>
                <c:pt idx="40">
                  <c:v>1540</c:v>
                </c:pt>
                <c:pt idx="41">
                  <c:v>1787</c:v>
                </c:pt>
                <c:pt idx="42">
                  <c:v>3102</c:v>
                </c:pt>
                <c:pt idx="43">
                  <c:v>2403</c:v>
                </c:pt>
                <c:pt idx="44">
                  <c:v>2927</c:v>
                </c:pt>
                <c:pt idx="45">
                  <c:v>3213</c:v>
                </c:pt>
                <c:pt idx="46">
                  <c:v>2194</c:v>
                </c:pt>
                <c:pt idx="47">
                  <c:v>1780</c:v>
                </c:pt>
                <c:pt idx="48">
                  <c:v>1408</c:v>
                </c:pt>
                <c:pt idx="49">
                  <c:v>2920</c:v>
                </c:pt>
                <c:pt idx="50">
                  <c:v>2647</c:v>
                </c:pt>
                <c:pt idx="51">
                  <c:v>3020</c:v>
                </c:pt>
                <c:pt idx="52">
                  <c:v>2338</c:v>
                </c:pt>
                <c:pt idx="53">
                  <c:v>2950</c:v>
                </c:pt>
                <c:pt idx="54">
                  <c:v>1601</c:v>
                </c:pt>
                <c:pt idx="55">
                  <c:v>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5-430B-AC67-E4BD857ADECD}"/>
            </c:ext>
          </c:extLst>
        </c:ser>
        <c:ser>
          <c:idx val="1"/>
          <c:order val="1"/>
          <c:tx>
            <c:strRef>
              <c:f>'3.3 Seasonal Exponential'!$H$2</c:f>
              <c:strCache>
                <c:ptCount val="1"/>
                <c:pt idx="0">
                  <c:v>Seasonal Exponential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'3.3 Seasonal Exponential'!$H$2:$H$58</c:f>
              <c:numCache>
                <c:formatCode>General</c:formatCode>
                <c:ptCount val="57"/>
                <c:pt idx="0">
                  <c:v>0</c:v>
                </c:pt>
                <c:pt idx="8" formatCode="0.00">
                  <c:v>1667.8000000000002</c:v>
                </c:pt>
                <c:pt idx="9" formatCode="0.00">
                  <c:v>2394.8396827411166</c:v>
                </c:pt>
                <c:pt idx="10" formatCode="0.00">
                  <c:v>1965.8024562555336</c:v>
                </c:pt>
                <c:pt idx="11" formatCode="0.00">
                  <c:v>1758.6799143497369</c:v>
                </c:pt>
                <c:pt idx="12" formatCode="0.00">
                  <c:v>1585.3741319224132</c:v>
                </c:pt>
                <c:pt idx="13" formatCode="0.00">
                  <c:v>1184.3548209058872</c:v>
                </c:pt>
                <c:pt idx="14" formatCode="0.00">
                  <c:v>893.25951264829075</c:v>
                </c:pt>
                <c:pt idx="15" formatCode="0.00">
                  <c:v>1763.3298721887268</c:v>
                </c:pt>
                <c:pt idx="16" formatCode="0.00">
                  <c:v>2230.858226495965</c:v>
                </c:pt>
                <c:pt idx="17" formatCode="0.00">
                  <c:v>1870.823754797219</c:v>
                </c:pt>
                <c:pt idx="18" formatCode="0.00">
                  <c:v>1770.2283427101563</c:v>
                </c:pt>
                <c:pt idx="19" formatCode="0.00">
                  <c:v>1526.5855621268822</c:v>
                </c:pt>
                <c:pt idx="20" formatCode="0.00">
                  <c:v>1148.7886479323731</c:v>
                </c:pt>
                <c:pt idx="21" formatCode="0.00">
                  <c:v>954.44960173773381</c:v>
                </c:pt>
                <c:pt idx="22" formatCode="0.00">
                  <c:v>1808.9159338198226</c:v>
                </c:pt>
                <c:pt idx="23" formatCode="0.00">
                  <c:v>2107.50766727367</c:v>
                </c:pt>
                <c:pt idx="24" formatCode="0.00">
                  <c:v>1953.2238393182167</c:v>
                </c:pt>
                <c:pt idx="25" formatCode="0.00">
                  <c:v>1808.4978569857917</c:v>
                </c:pt>
                <c:pt idx="26" formatCode="0.00">
                  <c:v>1575.8233897487553</c:v>
                </c:pt>
                <c:pt idx="27" formatCode="0.00">
                  <c:v>1226.3495507906816</c:v>
                </c:pt>
                <c:pt idx="28" formatCode="0.00">
                  <c:v>1059.9659246776091</c:v>
                </c:pt>
                <c:pt idx="29" formatCode="0.00">
                  <c:v>1869.1780725158048</c:v>
                </c:pt>
                <c:pt idx="30" formatCode="0.00">
                  <c:v>2034.6575704188465</c:v>
                </c:pt>
                <c:pt idx="31" formatCode="0.00">
                  <c:v>1953.7442735984446</c:v>
                </c:pt>
                <c:pt idx="32" formatCode="0.00">
                  <c:v>1773.8702078587312</c:v>
                </c:pt>
                <c:pt idx="33" formatCode="0.00">
                  <c:v>1538.8863679999331</c:v>
                </c:pt>
                <c:pt idx="34" formatCode="0.00">
                  <c:v>1085.8518364759018</c:v>
                </c:pt>
                <c:pt idx="35" formatCode="0.00">
                  <c:v>979.55401997955153</c:v>
                </c:pt>
                <c:pt idx="36" formatCode="0.00">
                  <c:v>2079.7435341611276</c:v>
                </c:pt>
                <c:pt idx="37" formatCode="0.00">
                  <c:v>2465.3501867176251</c:v>
                </c:pt>
                <c:pt idx="38" formatCode="0.00">
                  <c:v>2664.4505991375386</c:v>
                </c:pt>
                <c:pt idx="39" formatCode="0.00">
                  <c:v>2535.4578262870077</c:v>
                </c:pt>
                <c:pt idx="40" formatCode="0.00">
                  <c:v>2233.8439426337336</c:v>
                </c:pt>
                <c:pt idx="41" formatCode="0.00">
                  <c:v>1565.3825466990158</c:v>
                </c:pt>
                <c:pt idx="42" formatCode="0.00">
                  <c:v>1560.0165137613908</c:v>
                </c:pt>
                <c:pt idx="43" formatCode="0.00">
                  <c:v>3039.9356961587396</c:v>
                </c:pt>
                <c:pt idx="44" formatCode="0.00">
                  <c:v>2902.0719498714557</c:v>
                </c:pt>
                <c:pt idx="45" formatCode="0.00">
                  <c:v>2940.9142264570273</c:v>
                </c:pt>
                <c:pt idx="46" formatCode="0.00">
                  <c:v>2809.2648675419796</c:v>
                </c:pt>
                <c:pt idx="47" formatCode="0.00">
                  <c:v>2337.7577138378142</c:v>
                </c:pt>
                <c:pt idx="48" formatCode="0.00">
                  <c:v>1665.2898523240026</c:v>
                </c:pt>
                <c:pt idx="49" formatCode="0.00">
                  <c:v>1573.6707134491708</c:v>
                </c:pt>
                <c:pt idx="50" formatCode="0.00">
                  <c:v>2913.082696034875</c:v>
                </c:pt>
                <c:pt idx="51" formatCode="0.00">
                  <c:v>2786.3015596688638</c:v>
                </c:pt>
                <c:pt idx="52" formatCode="0.00">
                  <c:v>3005.5372337920958</c:v>
                </c:pt>
                <c:pt idx="53" formatCode="0.00">
                  <c:v>2834.3747952759991</c:v>
                </c:pt>
                <c:pt idx="54" formatCode="0.00">
                  <c:v>2255.2703911451254</c:v>
                </c:pt>
                <c:pt idx="55" formatCode="0.00">
                  <c:v>1631.8133580934082</c:v>
                </c:pt>
                <c:pt idx="56" formatCode="0.00">
                  <c:v>1515.6859637419609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5-430B-AC67-E4BD857AD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673599"/>
        <c:axId val="1656675519"/>
      </c:lineChart>
      <c:dateAx>
        <c:axId val="1656673599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56675519"/>
        <c:crosses val="autoZero"/>
        <c:auto val="1"/>
        <c:lblOffset val="100"/>
        <c:baseTimeUnit val="days"/>
      </c:dateAx>
      <c:valAx>
        <c:axId val="165667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5667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4</xdr:row>
      <xdr:rowOff>26670</xdr:rowOff>
    </xdr:from>
    <xdr:to>
      <xdr:col>16</xdr:col>
      <xdr:colOff>266700</xdr:colOff>
      <xdr:row>17</xdr:row>
      <xdr:rowOff>194310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D517C-26D0-AE4E-A57C-6D4710FCA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15</xdr:row>
      <xdr:rowOff>140970</xdr:rowOff>
    </xdr:from>
    <xdr:to>
      <xdr:col>12</xdr:col>
      <xdr:colOff>182880</xdr:colOff>
      <xdr:row>29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D1A565-36C7-BFB6-E454-F8A70DBDE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129540</xdr:colOff>
      <xdr:row>1</xdr:row>
      <xdr:rowOff>110490</xdr:rowOff>
    </xdr:from>
    <xdr:to>
      <xdr:col>12</xdr:col>
      <xdr:colOff>205740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958199-5734-0358-FE86-59E93E937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15</xdr:row>
      <xdr:rowOff>106680</xdr:rowOff>
    </xdr:from>
    <xdr:to>
      <xdr:col>17</xdr:col>
      <xdr:colOff>144780</xdr:colOff>
      <xdr:row>32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494D1-AA7D-B1F0-33A2-EFFBB30CC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350520</xdr:colOff>
      <xdr:row>12</xdr:row>
      <xdr:rowOff>34290</xdr:rowOff>
    </xdr:from>
    <xdr:to>
      <xdr:col>11</xdr:col>
      <xdr:colOff>205740</xdr:colOff>
      <xdr:row>36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426316-B323-B59E-8058-0E1FE5983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281940</xdr:colOff>
      <xdr:row>4</xdr:row>
      <xdr:rowOff>72390</xdr:rowOff>
    </xdr:from>
    <xdr:to>
      <xdr:col>15</xdr:col>
      <xdr:colOff>586740</xdr:colOff>
      <xdr:row>18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4AC1D7-E19F-05AE-A980-037B090C1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388620</xdr:colOff>
      <xdr:row>19</xdr:row>
      <xdr:rowOff>87630</xdr:rowOff>
    </xdr:from>
    <xdr:to>
      <xdr:col>16</xdr:col>
      <xdr:colOff>83820</xdr:colOff>
      <xdr:row>33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61B508-C494-C320-D1EC-5578DE1A7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7620</xdr:colOff>
      <xdr:row>4</xdr:row>
      <xdr:rowOff>41910</xdr:rowOff>
    </xdr:from>
    <xdr:to>
      <xdr:col>24</xdr:col>
      <xdr:colOff>312420</xdr:colOff>
      <xdr:row>18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0BB263-2B7A-9341-2CC4-68C502030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259080</xdr:colOff>
      <xdr:row>19</xdr:row>
      <xdr:rowOff>140970</xdr:rowOff>
    </xdr:from>
    <xdr:to>
      <xdr:col>24</xdr:col>
      <xdr:colOff>563880</xdr:colOff>
      <xdr:row>33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858B5F-F101-185C-983B-517ADF75B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144780</xdr:colOff>
      <xdr:row>19</xdr:row>
      <xdr:rowOff>137160</xdr:rowOff>
    </xdr:from>
    <xdr:to>
      <xdr:col>17</xdr:col>
      <xdr:colOff>220980</xdr:colOff>
      <xdr:row>34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0EBD6-16C8-3618-FF04-05A4962D2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21</xdr:row>
      <xdr:rowOff>190501</xdr:rowOff>
    </xdr:from>
    <xdr:to>
      <xdr:col>17</xdr:col>
      <xdr:colOff>90739</xdr:colOff>
      <xdr:row>30</xdr:row>
      <xdr:rowOff>83820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58964AA-4A11-5CDC-B8B5-971F2CFD0FF2}"/>
            </a:ext>
          </a:extLst>
        </xdr:cNvPr>
        <xdr:cNvSpPr/>
      </xdr:nvSpPr>
      <xdr:spPr>
        <a:xfrm>
          <a:off x="12169140" y="4335781"/>
          <a:ext cx="616519" cy="1676399"/>
        </a:xfrm>
        <a:prstGeom prst="rect">
          <a:avLst/>
        </a:prstGeom>
        <a:solidFill>
          <a:schemeClr val="accent1">
            <a:lumMod val="75000"/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GB" kern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22</xdr:row>
      <xdr:rowOff>121920</xdr:rowOff>
    </xdr:from>
    <xdr:to>
      <xdr:col>18</xdr:col>
      <xdr:colOff>83820</xdr:colOff>
      <xdr:row>38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3350E0-D02A-FFBD-7421-25A801E83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0.86559</cdr:x>
      <cdr:y>0.1467</cdr:y>
    </cdr:from>
    <cdr:to>
      <cdr:x>0.98139</cdr:x>
      <cdr:y>0.74442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58964AA-4A11-5CDC-B8B5-971F2CFD0FF2}"/>
            </a:ext>
          </a:extLst>
        </cdr:cNvPr>
        <cdr:cNvSpPr/>
      </cdr:nvSpPr>
      <cdr:spPr>
        <a:xfrm xmlns:a="http://schemas.openxmlformats.org/drawingml/2006/main">
          <a:off x="4907279" y="450504"/>
          <a:ext cx="656483" cy="1835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75000"/>
            <a:alpha val="2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</xdr:colOff>
      <xdr:row>23</xdr:row>
      <xdr:rowOff>171450</xdr:rowOff>
    </xdr:from>
    <xdr:to>
      <xdr:col>21</xdr:col>
      <xdr:colOff>205740</xdr:colOff>
      <xdr:row>38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5EBA5-BA4A-1D44-AF19-132EBCF46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0.86878</cdr:x>
      <cdr:y>0.15062</cdr:y>
    </cdr:from>
    <cdr:to>
      <cdr:x>0.98318</cdr:x>
      <cdr:y>0.73556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36FA912-E0F6-B8A4-0D4F-6A87F633FD26}"/>
            </a:ext>
          </a:extLst>
        </cdr:cNvPr>
        <cdr:cNvSpPr/>
      </cdr:nvSpPr>
      <cdr:spPr>
        <a:xfrm xmlns:a="http://schemas.openxmlformats.org/drawingml/2006/main">
          <a:off x="4792980" y="447040"/>
          <a:ext cx="631083" cy="173609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75000"/>
            <a:alpha val="2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D891-6FD4-4BD9-BDE4-7E62BE80E724}">
  <dimension ref="B2:J60"/>
  <sheetViews>
    <sheetView zoomScale="90" zoomScaleNormal="90" workbookViewId="0">
      <selection activeCell="E19" sqref="E19"/>
    </sheetView>
  </sheetViews>
  <sheetFormatPr defaultColWidth="8.77734375" defaultRowHeight="15.6" x14ac:dyDescent="0.3"/>
  <cols>
    <col min="1" max="1" width="8.77734375" style="1"/>
    <col min="2" max="2" width="12.77734375" style="1" customWidth="1"/>
    <col min="3" max="3" width="14" style="1" bestFit="1" customWidth="1"/>
    <col min="4" max="5" width="8.77734375" style="1"/>
    <col min="6" max="6" width="8.77734375" style="1" customWidth="1"/>
    <col min="7" max="16384" width="8.77734375" style="1"/>
  </cols>
  <sheetData>
    <row r="2" spans="2:10" x14ac:dyDescent="0.3">
      <c r="B2" s="2" t="s">
        <v>0</v>
      </c>
    </row>
    <row r="4" spans="2:10" x14ac:dyDescent="0.3">
      <c r="B4" s="4" t="s">
        <v>1</v>
      </c>
      <c r="C4" s="5" t="s">
        <v>2</v>
      </c>
      <c r="D4" s="3"/>
      <c r="E4" s="3"/>
      <c r="F4" s="3"/>
      <c r="G4" s="3"/>
      <c r="H4" s="3"/>
      <c r="I4" s="3"/>
      <c r="J4" s="3"/>
    </row>
    <row r="5" spans="2:10" x14ac:dyDescent="0.3">
      <c r="B5" s="6">
        <v>45047</v>
      </c>
      <c r="C5" s="7">
        <v>1576</v>
      </c>
      <c r="D5" s="3"/>
      <c r="E5" s="3"/>
      <c r="F5" s="3"/>
      <c r="G5" s="3"/>
      <c r="H5" s="3"/>
      <c r="I5" s="3"/>
      <c r="J5" s="3"/>
    </row>
    <row r="6" spans="2:10" x14ac:dyDescent="0.3">
      <c r="B6" s="6">
        <v>45048</v>
      </c>
      <c r="C6" s="7">
        <v>2299</v>
      </c>
      <c r="D6" s="3"/>
      <c r="E6" s="3"/>
      <c r="F6" s="3"/>
      <c r="G6" s="3"/>
      <c r="H6" s="3"/>
      <c r="I6" s="3"/>
      <c r="J6" s="3"/>
    </row>
    <row r="7" spans="2:10" x14ac:dyDescent="0.3">
      <c r="B7" s="6">
        <v>45049</v>
      </c>
      <c r="C7" s="7">
        <v>1878</v>
      </c>
      <c r="D7" s="3"/>
      <c r="E7" s="3"/>
      <c r="F7" s="3"/>
      <c r="G7" s="3"/>
      <c r="H7" s="3"/>
      <c r="I7" s="3"/>
      <c r="J7" s="3"/>
    </row>
    <row r="8" spans="2:10" x14ac:dyDescent="0.3">
      <c r="B8" s="6">
        <v>45050</v>
      </c>
      <c r="C8" s="7">
        <v>1628</v>
      </c>
      <c r="D8" s="3"/>
      <c r="E8" s="3"/>
      <c r="F8" s="3"/>
      <c r="G8" s="3"/>
      <c r="H8" s="3"/>
      <c r="I8" s="3"/>
      <c r="J8" s="3"/>
    </row>
    <row r="9" spans="2:10" x14ac:dyDescent="0.3">
      <c r="B9" s="6">
        <v>45051</v>
      </c>
      <c r="C9" s="7">
        <v>1555</v>
      </c>
      <c r="D9" s="3"/>
      <c r="E9" s="3"/>
      <c r="F9" s="3"/>
      <c r="G9" s="3"/>
      <c r="H9" s="3"/>
      <c r="I9" s="3"/>
      <c r="J9" s="3"/>
    </row>
    <row r="10" spans="2:10" x14ac:dyDescent="0.3">
      <c r="B10" s="6">
        <v>45052</v>
      </c>
      <c r="C10" s="7">
        <v>1240</v>
      </c>
      <c r="D10" s="3"/>
      <c r="E10" s="3"/>
      <c r="F10" s="3"/>
      <c r="G10" s="3"/>
      <c r="H10" s="3"/>
      <c r="I10" s="3"/>
      <c r="J10" s="3"/>
    </row>
    <row r="11" spans="2:10" x14ac:dyDescent="0.3">
      <c r="B11" s="6">
        <v>45053</v>
      </c>
      <c r="C11" s="7">
        <v>864</v>
      </c>
      <c r="D11" s="3"/>
      <c r="E11" s="3"/>
      <c r="F11" s="3"/>
      <c r="G11" s="3"/>
      <c r="H11" s="3"/>
      <c r="I11" s="3"/>
      <c r="J11" s="3"/>
    </row>
    <row r="12" spans="2:10" x14ac:dyDescent="0.3">
      <c r="B12" s="6">
        <v>45054</v>
      </c>
      <c r="C12" s="7">
        <v>1882</v>
      </c>
      <c r="D12" s="3"/>
      <c r="E12" s="3"/>
      <c r="F12" s="3"/>
      <c r="G12" s="3"/>
      <c r="H12" s="3"/>
      <c r="I12" s="3"/>
      <c r="J12" s="3"/>
    </row>
    <row r="13" spans="2:10" x14ac:dyDescent="0.3">
      <c r="B13" s="6">
        <v>45055</v>
      </c>
      <c r="C13" s="7">
        <v>2306</v>
      </c>
      <c r="D13" s="3"/>
      <c r="E13" s="3"/>
      <c r="F13" s="3"/>
      <c r="G13" s="3"/>
      <c r="H13" s="3"/>
      <c r="I13" s="3"/>
      <c r="J13" s="3"/>
    </row>
    <row r="14" spans="2:10" x14ac:dyDescent="0.3">
      <c r="B14" s="6">
        <v>45056</v>
      </c>
      <c r="C14" s="7">
        <v>1988</v>
      </c>
      <c r="D14" s="3"/>
      <c r="E14" s="3"/>
      <c r="F14" s="3"/>
      <c r="G14" s="3"/>
      <c r="H14" s="3"/>
      <c r="I14" s="3"/>
      <c r="J14" s="3"/>
    </row>
    <row r="15" spans="2:10" x14ac:dyDescent="0.3">
      <c r="B15" s="6">
        <v>45057</v>
      </c>
      <c r="C15" s="7">
        <v>1886</v>
      </c>
      <c r="D15" s="3"/>
      <c r="E15" s="3"/>
      <c r="F15" s="3"/>
      <c r="G15" s="3"/>
      <c r="H15" s="3"/>
      <c r="I15" s="3"/>
      <c r="J15" s="3"/>
    </row>
    <row r="16" spans="2:10" x14ac:dyDescent="0.3">
      <c r="B16" s="6">
        <v>45058</v>
      </c>
      <c r="C16" s="7">
        <v>1365</v>
      </c>
      <c r="D16" s="3"/>
      <c r="E16" s="3"/>
      <c r="F16" s="3"/>
      <c r="G16" s="3"/>
      <c r="H16" s="3"/>
      <c r="I16" s="3"/>
      <c r="J16" s="3"/>
    </row>
    <row r="17" spans="2:10" x14ac:dyDescent="0.3">
      <c r="B17" s="6">
        <v>45059</v>
      </c>
      <c r="C17" s="7">
        <v>998</v>
      </c>
      <c r="D17" s="3"/>
      <c r="E17" s="3"/>
      <c r="F17" s="3"/>
      <c r="G17" s="3"/>
      <c r="H17" s="3"/>
      <c r="I17" s="3"/>
      <c r="J17" s="3"/>
    </row>
    <row r="18" spans="2:10" x14ac:dyDescent="0.3">
      <c r="B18" s="6">
        <v>45060</v>
      </c>
      <c r="C18" s="7">
        <v>1052</v>
      </c>
      <c r="D18" s="3"/>
      <c r="E18" s="3"/>
      <c r="F18" s="3"/>
      <c r="G18" s="3"/>
      <c r="H18" s="3"/>
      <c r="I18" s="3"/>
      <c r="J18" s="3"/>
    </row>
    <row r="19" spans="2:10" x14ac:dyDescent="0.3">
      <c r="B19" s="6">
        <v>45061</v>
      </c>
      <c r="C19" s="7">
        <v>1905</v>
      </c>
      <c r="D19" s="3"/>
      <c r="E19" s="3"/>
      <c r="F19" s="3"/>
      <c r="G19" s="3"/>
      <c r="H19" s="3"/>
      <c r="I19" s="3"/>
      <c r="J19" s="3"/>
    </row>
    <row r="20" spans="2:10" x14ac:dyDescent="0.3">
      <c r="B20" s="6">
        <v>45062</v>
      </c>
      <c r="C20" s="7">
        <v>1767</v>
      </c>
      <c r="D20" s="3"/>
      <c r="E20" s="3"/>
      <c r="F20" s="3"/>
      <c r="G20" s="3"/>
      <c r="H20" s="3"/>
      <c r="I20" s="3"/>
      <c r="J20" s="3"/>
    </row>
    <row r="21" spans="2:10" x14ac:dyDescent="0.3">
      <c r="B21" s="6">
        <v>45063</v>
      </c>
      <c r="C21" s="7">
        <v>1911</v>
      </c>
      <c r="D21" s="3"/>
      <c r="E21" s="3"/>
      <c r="F21" s="3"/>
      <c r="G21" s="3"/>
      <c r="H21" s="3"/>
      <c r="I21" s="3"/>
      <c r="J21" s="3"/>
    </row>
    <row r="22" spans="2:10" x14ac:dyDescent="0.3">
      <c r="B22" s="6">
        <v>45064</v>
      </c>
      <c r="C22" s="7">
        <v>2036</v>
      </c>
      <c r="D22" s="3"/>
      <c r="E22" s="3"/>
      <c r="F22" s="3"/>
      <c r="G22" s="3"/>
      <c r="H22" s="3"/>
      <c r="I22" s="3"/>
      <c r="J22" s="3"/>
    </row>
    <row r="23" spans="2:10" x14ac:dyDescent="0.3">
      <c r="B23" s="6">
        <v>45065</v>
      </c>
      <c r="C23" s="7">
        <v>1428</v>
      </c>
      <c r="D23" s="3"/>
      <c r="E23" s="3"/>
      <c r="F23" s="3"/>
      <c r="G23" s="3"/>
      <c r="H23" s="3"/>
      <c r="I23" s="3"/>
      <c r="J23" s="3"/>
    </row>
    <row r="24" spans="2:10" x14ac:dyDescent="0.3">
      <c r="B24" s="6">
        <v>45066</v>
      </c>
      <c r="C24" s="7">
        <v>1008</v>
      </c>
      <c r="D24" s="3"/>
      <c r="E24" s="3"/>
      <c r="F24" s="3"/>
      <c r="G24" s="3"/>
      <c r="H24" s="3"/>
      <c r="I24" s="3"/>
      <c r="J24" s="3"/>
    </row>
    <row r="25" spans="2:10" x14ac:dyDescent="0.3">
      <c r="B25" s="6">
        <v>45067</v>
      </c>
      <c r="C25" s="7">
        <v>1082</v>
      </c>
      <c r="D25" s="3"/>
      <c r="E25" s="3"/>
      <c r="F25" s="3"/>
      <c r="G25" s="3"/>
      <c r="H25" s="3"/>
      <c r="I25" s="3"/>
      <c r="J25" s="3"/>
    </row>
    <row r="26" spans="2:10" x14ac:dyDescent="0.3">
      <c r="B26" s="6">
        <v>45068</v>
      </c>
      <c r="C26" s="7">
        <v>1921</v>
      </c>
      <c r="D26" s="3"/>
      <c r="E26" s="3"/>
      <c r="F26" s="3"/>
      <c r="G26" s="3"/>
      <c r="H26" s="3"/>
      <c r="I26" s="3"/>
      <c r="J26" s="3"/>
    </row>
    <row r="27" spans="2:10" x14ac:dyDescent="0.3">
      <c r="B27" s="6">
        <v>45069</v>
      </c>
      <c r="C27" s="7">
        <v>1780</v>
      </c>
      <c r="D27" s="3"/>
      <c r="E27" s="3"/>
      <c r="F27" s="3"/>
      <c r="G27" s="3"/>
      <c r="H27" s="3"/>
      <c r="I27" s="3"/>
      <c r="J27" s="3"/>
    </row>
    <row r="28" spans="2:10" x14ac:dyDescent="0.3">
      <c r="B28" s="6">
        <v>45070</v>
      </c>
      <c r="C28" s="7">
        <v>2071</v>
      </c>
      <c r="D28" s="3"/>
      <c r="E28" s="3"/>
      <c r="F28" s="3"/>
      <c r="G28" s="3"/>
      <c r="H28" s="3"/>
      <c r="I28" s="3"/>
      <c r="J28" s="3"/>
    </row>
    <row r="29" spans="2:10" x14ac:dyDescent="0.3">
      <c r="B29" s="6">
        <v>45071</v>
      </c>
      <c r="C29" s="7">
        <v>1813</v>
      </c>
      <c r="D29" s="3"/>
      <c r="E29" s="3"/>
      <c r="F29" s="3"/>
      <c r="G29" s="3"/>
      <c r="H29" s="3"/>
      <c r="I29" s="3"/>
      <c r="J29" s="3"/>
    </row>
    <row r="30" spans="2:10" x14ac:dyDescent="0.3">
      <c r="B30" s="6">
        <v>45072</v>
      </c>
      <c r="C30" s="7">
        <v>1780</v>
      </c>
      <c r="D30" s="3"/>
      <c r="E30" s="3"/>
      <c r="F30" s="3"/>
      <c r="G30" s="3"/>
      <c r="H30" s="3"/>
      <c r="I30" s="3"/>
      <c r="J30" s="3"/>
    </row>
    <row r="31" spans="2:10" x14ac:dyDescent="0.3">
      <c r="B31" s="6">
        <v>45073</v>
      </c>
      <c r="C31" s="7">
        <v>1236</v>
      </c>
      <c r="D31" s="3"/>
      <c r="E31" s="3"/>
      <c r="F31" s="3"/>
      <c r="G31" s="3"/>
      <c r="H31" s="3"/>
      <c r="I31" s="3"/>
      <c r="J31" s="3"/>
    </row>
    <row r="32" spans="2:10" x14ac:dyDescent="0.3">
      <c r="B32" s="6">
        <v>45074</v>
      </c>
      <c r="C32" s="7">
        <v>1082</v>
      </c>
      <c r="D32" s="3"/>
      <c r="E32" s="3"/>
      <c r="F32" s="3"/>
      <c r="G32" s="3"/>
      <c r="H32" s="3"/>
      <c r="I32" s="3"/>
      <c r="J32" s="3"/>
    </row>
    <row r="33" spans="2:10" x14ac:dyDescent="0.3">
      <c r="B33" s="6">
        <v>45075</v>
      </c>
      <c r="C33" s="7">
        <v>1777</v>
      </c>
      <c r="D33" s="3"/>
      <c r="E33" s="3"/>
      <c r="F33" s="3"/>
      <c r="G33" s="3"/>
      <c r="H33" s="3"/>
      <c r="I33" s="3"/>
      <c r="J33" s="3"/>
    </row>
    <row r="34" spans="2:10" x14ac:dyDescent="0.3">
      <c r="B34" s="6">
        <v>45076</v>
      </c>
      <c r="C34" s="7">
        <v>1766</v>
      </c>
      <c r="D34" s="3"/>
      <c r="E34" s="3"/>
      <c r="F34" s="3"/>
      <c r="G34" s="3"/>
      <c r="H34" s="3"/>
      <c r="I34" s="3"/>
      <c r="J34" s="3"/>
    </row>
    <row r="35" spans="2:10" x14ac:dyDescent="0.3">
      <c r="B35" s="6">
        <v>45077</v>
      </c>
      <c r="C35" s="7">
        <v>1884</v>
      </c>
      <c r="D35" s="3"/>
      <c r="E35" s="3"/>
      <c r="F35" s="3"/>
      <c r="G35" s="3"/>
      <c r="H35" s="3"/>
      <c r="I35" s="3"/>
      <c r="J35" s="3"/>
    </row>
    <row r="36" spans="2:10" x14ac:dyDescent="0.3">
      <c r="B36" s="6">
        <v>45078</v>
      </c>
      <c r="C36" s="7">
        <v>1780</v>
      </c>
      <c r="D36" s="3"/>
      <c r="E36" s="3"/>
      <c r="F36" s="3"/>
      <c r="G36" s="3"/>
      <c r="H36" s="3"/>
      <c r="I36" s="3"/>
      <c r="J36" s="3"/>
    </row>
    <row r="37" spans="2:10" x14ac:dyDescent="0.3">
      <c r="B37" s="6">
        <v>45079</v>
      </c>
      <c r="C37" s="7">
        <v>1572</v>
      </c>
      <c r="D37" s="3"/>
      <c r="E37" s="3"/>
      <c r="F37" s="3"/>
      <c r="G37" s="3"/>
      <c r="H37" s="3"/>
      <c r="I37" s="3"/>
      <c r="J37" s="3"/>
    </row>
    <row r="38" spans="2:10" x14ac:dyDescent="0.3">
      <c r="B38" s="6">
        <v>45080</v>
      </c>
      <c r="C38" s="7">
        <v>948</v>
      </c>
      <c r="D38" s="3"/>
      <c r="E38" s="3"/>
      <c r="F38" s="3"/>
      <c r="G38" s="3"/>
      <c r="H38" s="3"/>
      <c r="I38" s="3"/>
      <c r="J38" s="3"/>
    </row>
    <row r="39" spans="2:10" x14ac:dyDescent="0.3">
      <c r="B39" s="6">
        <v>45081</v>
      </c>
      <c r="C39" s="7">
        <v>1085</v>
      </c>
      <c r="D39" s="3"/>
      <c r="E39" s="3"/>
      <c r="F39" s="3"/>
      <c r="G39" s="3"/>
      <c r="H39" s="3"/>
      <c r="I39" s="3"/>
      <c r="J39" s="3"/>
    </row>
    <row r="40" spans="2:10" x14ac:dyDescent="0.3">
      <c r="B40" s="6">
        <v>45082</v>
      </c>
      <c r="C40" s="7">
        <v>2917</v>
      </c>
      <c r="D40" s="3"/>
      <c r="E40" s="3"/>
      <c r="F40" s="3"/>
      <c r="G40" s="3"/>
      <c r="H40" s="3"/>
      <c r="I40" s="3"/>
      <c r="J40" s="3"/>
    </row>
    <row r="41" spans="2:10" x14ac:dyDescent="0.3">
      <c r="B41" s="6">
        <v>45083</v>
      </c>
      <c r="C41" s="7">
        <v>2801</v>
      </c>
      <c r="D41" s="3"/>
      <c r="E41" s="3"/>
      <c r="F41" s="3"/>
      <c r="G41" s="3"/>
      <c r="H41" s="3"/>
      <c r="I41" s="3"/>
      <c r="J41" s="3"/>
    </row>
    <row r="42" spans="2:10" x14ac:dyDescent="0.3">
      <c r="B42" s="6">
        <v>45084</v>
      </c>
      <c r="C42" s="7">
        <v>3075</v>
      </c>
      <c r="D42" s="3"/>
      <c r="E42" s="3"/>
      <c r="F42" s="3"/>
      <c r="G42" s="3"/>
      <c r="H42" s="3"/>
      <c r="I42" s="3"/>
      <c r="J42" s="3"/>
    </row>
    <row r="43" spans="2:10" x14ac:dyDescent="0.3">
      <c r="B43" s="6">
        <v>45085</v>
      </c>
      <c r="C43" s="7">
        <v>2737</v>
      </c>
      <c r="D43" s="3"/>
      <c r="E43" s="3"/>
      <c r="F43" s="3"/>
      <c r="G43" s="3"/>
      <c r="H43" s="3"/>
      <c r="I43" s="3"/>
      <c r="J43" s="3"/>
    </row>
    <row r="44" spans="2:10" x14ac:dyDescent="0.3">
      <c r="B44" s="6">
        <v>45086</v>
      </c>
      <c r="C44" s="7">
        <v>2329</v>
      </c>
      <c r="D44" s="3"/>
      <c r="E44" s="3"/>
      <c r="F44" s="3"/>
      <c r="G44" s="3"/>
      <c r="H44" s="3"/>
      <c r="I44" s="3"/>
      <c r="J44" s="3"/>
    </row>
    <row r="45" spans="2:10" x14ac:dyDescent="0.3">
      <c r="B45" s="6">
        <v>45087</v>
      </c>
      <c r="C45" s="7">
        <v>1540</v>
      </c>
      <c r="D45" s="3"/>
      <c r="E45" s="3"/>
      <c r="F45" s="3"/>
      <c r="G45" s="3"/>
      <c r="H45" s="3"/>
      <c r="I45" s="3"/>
      <c r="J45" s="3"/>
    </row>
    <row r="46" spans="2:10" x14ac:dyDescent="0.3">
      <c r="B46" s="6">
        <v>45088</v>
      </c>
      <c r="C46" s="7">
        <v>1787</v>
      </c>
      <c r="D46" s="3"/>
      <c r="E46" s="3"/>
      <c r="F46" s="3"/>
      <c r="G46" s="3"/>
      <c r="H46" s="3"/>
      <c r="I46" s="3"/>
      <c r="J46" s="3"/>
    </row>
    <row r="47" spans="2:10" x14ac:dyDescent="0.3">
      <c r="B47" s="6">
        <v>45089</v>
      </c>
      <c r="C47" s="7">
        <v>3102</v>
      </c>
      <c r="D47" s="3"/>
      <c r="E47" s="3"/>
      <c r="F47" s="3"/>
      <c r="G47" s="3"/>
      <c r="H47" s="3"/>
      <c r="I47" s="3"/>
      <c r="J47" s="3"/>
    </row>
    <row r="48" spans="2:10" x14ac:dyDescent="0.3">
      <c r="B48" s="6">
        <v>45090</v>
      </c>
      <c r="C48" s="7">
        <v>2403</v>
      </c>
      <c r="D48" s="3"/>
      <c r="E48" s="3"/>
      <c r="F48" s="3"/>
      <c r="G48" s="3"/>
      <c r="H48" s="3"/>
      <c r="I48" s="3"/>
      <c r="J48" s="3"/>
    </row>
    <row r="49" spans="2:10" x14ac:dyDescent="0.3">
      <c r="B49" s="6">
        <v>45091</v>
      </c>
      <c r="C49" s="7">
        <v>2927</v>
      </c>
      <c r="D49" s="3"/>
      <c r="E49" s="3"/>
      <c r="F49" s="3"/>
      <c r="G49" s="3"/>
      <c r="H49" s="3"/>
      <c r="I49" s="3"/>
      <c r="J49" s="3"/>
    </row>
    <row r="50" spans="2:10" x14ac:dyDescent="0.3">
      <c r="B50" s="6">
        <v>45092</v>
      </c>
      <c r="C50" s="7">
        <v>3213</v>
      </c>
      <c r="D50" s="3"/>
      <c r="E50" s="3"/>
      <c r="F50" s="3"/>
      <c r="G50" s="3"/>
      <c r="H50" s="3"/>
      <c r="I50" s="3"/>
      <c r="J50" s="3"/>
    </row>
    <row r="51" spans="2:10" x14ac:dyDescent="0.3">
      <c r="B51" s="6">
        <v>45093</v>
      </c>
      <c r="C51" s="7">
        <v>2194</v>
      </c>
      <c r="D51" s="3"/>
      <c r="E51" s="3"/>
      <c r="F51" s="3"/>
      <c r="G51" s="3"/>
      <c r="H51" s="3"/>
      <c r="I51" s="3"/>
      <c r="J51" s="3"/>
    </row>
    <row r="52" spans="2:10" x14ac:dyDescent="0.3">
      <c r="B52" s="6">
        <v>45094</v>
      </c>
      <c r="C52" s="7">
        <v>1780</v>
      </c>
      <c r="D52" s="3"/>
      <c r="E52" s="3"/>
      <c r="F52" s="3"/>
      <c r="G52" s="3"/>
      <c r="H52" s="3"/>
      <c r="I52" s="3"/>
      <c r="J52" s="3"/>
    </row>
    <row r="53" spans="2:10" x14ac:dyDescent="0.3">
      <c r="B53" s="6">
        <v>45095</v>
      </c>
      <c r="C53" s="7">
        <v>1408</v>
      </c>
    </row>
    <row r="54" spans="2:10" x14ac:dyDescent="0.3">
      <c r="B54" s="6">
        <v>45096</v>
      </c>
      <c r="C54" s="7">
        <v>2920</v>
      </c>
    </row>
    <row r="55" spans="2:10" x14ac:dyDescent="0.3">
      <c r="B55" s="6">
        <v>45097</v>
      </c>
      <c r="C55" s="7">
        <v>2647</v>
      </c>
    </row>
    <row r="56" spans="2:10" x14ac:dyDescent="0.3">
      <c r="B56" s="6">
        <v>45098</v>
      </c>
      <c r="C56" s="7">
        <v>3020</v>
      </c>
    </row>
    <row r="57" spans="2:10" x14ac:dyDescent="0.3">
      <c r="B57" s="6">
        <v>45099</v>
      </c>
      <c r="C57" s="7">
        <v>2338</v>
      </c>
    </row>
    <row r="58" spans="2:10" x14ac:dyDescent="0.3">
      <c r="B58" s="6">
        <v>45100</v>
      </c>
      <c r="C58" s="7">
        <v>2950</v>
      </c>
    </row>
    <row r="59" spans="2:10" x14ac:dyDescent="0.3">
      <c r="B59" s="6">
        <v>45101</v>
      </c>
      <c r="C59" s="7">
        <v>1601</v>
      </c>
    </row>
    <row r="60" spans="2:10" x14ac:dyDescent="0.3">
      <c r="B60" s="6">
        <v>45102</v>
      </c>
      <c r="C60" s="7">
        <v>1615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A7A4-C4B1-4BD1-919C-7DC9BEB71D6C}">
  <dimension ref="B2:F58"/>
  <sheetViews>
    <sheetView workbookViewId="0">
      <selection activeCell="B2" sqref="B2:F2"/>
    </sheetView>
  </sheetViews>
  <sheetFormatPr defaultRowHeight="14.4" x14ac:dyDescent="0.3"/>
  <cols>
    <col min="3" max="3" width="12" customWidth="1"/>
    <col min="6" max="6" width="10.33203125" bestFit="1" customWidth="1"/>
  </cols>
  <sheetData>
    <row r="2" spans="2:6" ht="15.6" x14ac:dyDescent="0.3">
      <c r="B2" s="72" t="s">
        <v>1</v>
      </c>
      <c r="C2" s="73" t="s">
        <v>2</v>
      </c>
      <c r="D2" s="41" t="s">
        <v>3</v>
      </c>
      <c r="E2" s="41" t="s">
        <v>4</v>
      </c>
      <c r="F2" s="41" t="s">
        <v>5</v>
      </c>
    </row>
    <row r="3" spans="2:6" ht="15.6" x14ac:dyDescent="0.3">
      <c r="B3" s="6">
        <v>45047</v>
      </c>
      <c r="C3" s="7">
        <v>1576</v>
      </c>
      <c r="D3" s="14"/>
      <c r="E3" s="14"/>
      <c r="F3" s="14"/>
    </row>
    <row r="4" spans="2:6" ht="15.6" x14ac:dyDescent="0.3">
      <c r="B4" s="6">
        <v>45048</v>
      </c>
      <c r="C4" s="7">
        <v>2299</v>
      </c>
      <c r="D4" s="71">
        <f>AVERAGE(C3:C5)</f>
        <v>1917.6666666666667</v>
      </c>
      <c r="E4" s="14"/>
      <c r="F4" s="14"/>
    </row>
    <row r="5" spans="2:6" ht="15.6" x14ac:dyDescent="0.3">
      <c r="B5" s="6">
        <v>45049</v>
      </c>
      <c r="C5" s="7">
        <v>1878</v>
      </c>
      <c r="D5" s="71">
        <f t="shared" ref="D5:D58" si="0">AVERAGE(C4:C6)</f>
        <v>1935</v>
      </c>
      <c r="E5" s="14"/>
      <c r="F5" s="14"/>
    </row>
    <row r="6" spans="2:6" ht="15.6" x14ac:dyDescent="0.3">
      <c r="B6" s="6">
        <v>45050</v>
      </c>
      <c r="C6" s="7">
        <v>1628</v>
      </c>
      <c r="D6" s="71">
        <f t="shared" si="0"/>
        <v>1687</v>
      </c>
      <c r="E6" s="71">
        <f>AVERAGE(C3:C9)</f>
        <v>1577.1428571428571</v>
      </c>
      <c r="F6" s="14"/>
    </row>
    <row r="7" spans="2:6" ht="15.6" x14ac:dyDescent="0.3">
      <c r="B7" s="6">
        <v>45051</v>
      </c>
      <c r="C7" s="7">
        <v>1555</v>
      </c>
      <c r="D7" s="71">
        <f t="shared" si="0"/>
        <v>1474.3333333333333</v>
      </c>
      <c r="E7" s="71">
        <f t="shared" ref="E7:E58" si="1">AVERAGE(C4:C10)</f>
        <v>1620.8571428571429</v>
      </c>
      <c r="F7" s="14"/>
    </row>
    <row r="8" spans="2:6" ht="15.6" x14ac:dyDescent="0.3">
      <c r="B8" s="6">
        <v>45052</v>
      </c>
      <c r="C8" s="7">
        <v>1240</v>
      </c>
      <c r="D8" s="71">
        <f t="shared" si="0"/>
        <v>1219.6666666666667</v>
      </c>
      <c r="E8" s="71">
        <f t="shared" si="1"/>
        <v>1621.8571428571429</v>
      </c>
      <c r="F8" s="14"/>
    </row>
    <row r="9" spans="2:6" ht="15.6" x14ac:dyDescent="0.3">
      <c r="B9" s="6">
        <v>45053</v>
      </c>
      <c r="C9" s="7">
        <v>864</v>
      </c>
      <c r="D9" s="71">
        <f t="shared" si="0"/>
        <v>1328.6666666666667</v>
      </c>
      <c r="E9" s="71">
        <f t="shared" si="1"/>
        <v>1637.5714285714287</v>
      </c>
      <c r="F9" s="14"/>
    </row>
    <row r="10" spans="2:6" ht="15.6" x14ac:dyDescent="0.3">
      <c r="B10" s="6">
        <v>45054</v>
      </c>
      <c r="C10" s="7">
        <v>1882</v>
      </c>
      <c r="D10" s="71">
        <f t="shared" si="0"/>
        <v>1684</v>
      </c>
      <c r="E10" s="71">
        <f t="shared" si="1"/>
        <v>1674.4285714285713</v>
      </c>
      <c r="F10" s="71">
        <f>(C3/2+SUM(C4:C16)+C17/2)/14</f>
        <v>1620.1071428571429</v>
      </c>
    </row>
    <row r="11" spans="2:6" ht="15.6" x14ac:dyDescent="0.3">
      <c r="B11" s="6">
        <v>45055</v>
      </c>
      <c r="C11" s="7">
        <v>2306</v>
      </c>
      <c r="D11" s="71">
        <f t="shared" si="0"/>
        <v>2058.6666666666665</v>
      </c>
      <c r="E11" s="71">
        <f t="shared" si="1"/>
        <v>1647.2857142857142</v>
      </c>
      <c r="F11" s="71">
        <f t="shared" ref="F11:F58" si="2">(C4/2+SUM(C5:C17)+C18/2)/14</f>
        <v>1612.8571428571429</v>
      </c>
    </row>
    <row r="12" spans="2:6" ht="15.6" x14ac:dyDescent="0.3">
      <c r="B12" s="6">
        <v>45056</v>
      </c>
      <c r="C12" s="7">
        <v>1988</v>
      </c>
      <c r="D12" s="71">
        <f t="shared" si="0"/>
        <v>2060</v>
      </c>
      <c r="E12" s="71">
        <f t="shared" si="1"/>
        <v>1612.7142857142858</v>
      </c>
      <c r="F12" s="71">
        <f t="shared" si="2"/>
        <v>1595.0357142857142</v>
      </c>
    </row>
    <row r="13" spans="2:6" ht="15.6" x14ac:dyDescent="0.3">
      <c r="B13" s="6">
        <v>45057</v>
      </c>
      <c r="C13" s="7">
        <v>1886</v>
      </c>
      <c r="D13" s="71">
        <f t="shared" si="0"/>
        <v>1746.3333333333333</v>
      </c>
      <c r="E13" s="71">
        <f t="shared" si="1"/>
        <v>1639.5714285714287</v>
      </c>
      <c r="F13" s="71">
        <f t="shared" si="2"/>
        <v>1610.7857142857142</v>
      </c>
    </row>
    <row r="14" spans="2:6" ht="15.6" x14ac:dyDescent="0.3">
      <c r="B14" s="6">
        <v>45058</v>
      </c>
      <c r="C14" s="7">
        <v>1365</v>
      </c>
      <c r="D14" s="71">
        <f t="shared" si="0"/>
        <v>1416.3333333333333</v>
      </c>
      <c r="E14" s="71">
        <f t="shared" si="1"/>
        <v>1642.8571428571429</v>
      </c>
      <c r="F14" s="71">
        <f t="shared" si="2"/>
        <v>1620.8214285714287</v>
      </c>
    </row>
    <row r="15" spans="2:6" ht="15.6" x14ac:dyDescent="0.3">
      <c r="B15" s="6">
        <v>45059</v>
      </c>
      <c r="C15" s="7">
        <v>998</v>
      </c>
      <c r="D15" s="71">
        <f t="shared" si="0"/>
        <v>1138.3333333333333</v>
      </c>
      <c r="E15" s="71">
        <f t="shared" si="1"/>
        <v>1565.8571428571429</v>
      </c>
      <c r="F15" s="71">
        <f t="shared" si="2"/>
        <v>1608</v>
      </c>
    </row>
    <row r="16" spans="2:6" ht="15.6" x14ac:dyDescent="0.3">
      <c r="B16" s="6">
        <v>45060</v>
      </c>
      <c r="C16" s="7">
        <v>1052</v>
      </c>
      <c r="D16" s="71">
        <f t="shared" si="0"/>
        <v>1318.3333333333333</v>
      </c>
      <c r="E16" s="71">
        <f t="shared" si="1"/>
        <v>1554.8571428571429</v>
      </c>
      <c r="F16" s="71">
        <f t="shared" si="2"/>
        <v>1607.5</v>
      </c>
    </row>
    <row r="17" spans="2:6" ht="15.6" x14ac:dyDescent="0.3">
      <c r="B17" s="6">
        <v>45061</v>
      </c>
      <c r="C17" s="7">
        <v>1905</v>
      </c>
      <c r="D17" s="71">
        <f t="shared" si="0"/>
        <v>1574.6666666666667</v>
      </c>
      <c r="E17" s="71">
        <f t="shared" si="1"/>
        <v>1576.2857142857142</v>
      </c>
      <c r="F17" s="71">
        <f t="shared" si="2"/>
        <v>1616.6785714285713</v>
      </c>
    </row>
    <row r="18" spans="2:6" ht="15.6" x14ac:dyDescent="0.3">
      <c r="B18" s="6">
        <v>45062</v>
      </c>
      <c r="C18" s="7">
        <v>1767</v>
      </c>
      <c r="D18" s="71">
        <f t="shared" si="0"/>
        <v>1861</v>
      </c>
      <c r="E18" s="71">
        <f t="shared" si="1"/>
        <v>1585.2857142857142</v>
      </c>
      <c r="F18" s="71">
        <f t="shared" si="2"/>
        <v>1599.2857142857142</v>
      </c>
    </row>
    <row r="19" spans="2:6" ht="15.6" x14ac:dyDescent="0.3">
      <c r="B19" s="6">
        <v>45063</v>
      </c>
      <c r="C19" s="7">
        <v>1911</v>
      </c>
      <c r="D19" s="71">
        <f t="shared" si="0"/>
        <v>1904.6666666666667</v>
      </c>
      <c r="E19" s="71">
        <f t="shared" si="1"/>
        <v>1586.7142857142858</v>
      </c>
      <c r="F19" s="71">
        <f t="shared" si="2"/>
        <v>1583.4642857142858</v>
      </c>
    </row>
    <row r="20" spans="2:6" ht="15.6" x14ac:dyDescent="0.3">
      <c r="B20" s="6">
        <v>45064</v>
      </c>
      <c r="C20" s="7">
        <v>2036</v>
      </c>
      <c r="D20" s="71">
        <f t="shared" si="0"/>
        <v>1791.6666666666667</v>
      </c>
      <c r="E20" s="71">
        <f t="shared" si="1"/>
        <v>1591</v>
      </c>
      <c r="F20" s="71">
        <f t="shared" si="2"/>
        <v>1583.8214285714287</v>
      </c>
    </row>
    <row r="21" spans="2:6" ht="15.6" x14ac:dyDescent="0.3">
      <c r="B21" s="6">
        <v>45065</v>
      </c>
      <c r="C21" s="7">
        <v>1428</v>
      </c>
      <c r="D21" s="71">
        <f t="shared" si="0"/>
        <v>1490.6666666666667</v>
      </c>
      <c r="E21" s="71">
        <f t="shared" si="1"/>
        <v>1593.2857142857142</v>
      </c>
      <c r="F21" s="71">
        <f t="shared" si="2"/>
        <v>1596.0357142857142</v>
      </c>
    </row>
    <row r="22" spans="2:6" ht="15.6" x14ac:dyDescent="0.3">
      <c r="B22" s="6">
        <v>45066</v>
      </c>
      <c r="C22" s="7">
        <v>1008</v>
      </c>
      <c r="D22" s="71">
        <f t="shared" si="0"/>
        <v>1172.6666666666667</v>
      </c>
      <c r="E22" s="71">
        <f t="shared" si="1"/>
        <v>1595.1428571428571</v>
      </c>
      <c r="F22" s="71">
        <f t="shared" si="2"/>
        <v>1619.3571428571429</v>
      </c>
    </row>
    <row r="23" spans="2:6" ht="15.6" x14ac:dyDescent="0.3">
      <c r="B23" s="6">
        <v>45067</v>
      </c>
      <c r="C23" s="7">
        <v>1082</v>
      </c>
      <c r="D23" s="71">
        <f t="shared" si="0"/>
        <v>1337</v>
      </c>
      <c r="E23" s="71">
        <f t="shared" si="1"/>
        <v>1618</v>
      </c>
      <c r="F23" s="71">
        <f t="shared" si="2"/>
        <v>1628.9285714285713</v>
      </c>
    </row>
    <row r="24" spans="2:6" ht="15.6" x14ac:dyDescent="0.3">
      <c r="B24" s="6">
        <v>45068</v>
      </c>
      <c r="C24" s="7">
        <v>1921</v>
      </c>
      <c r="D24" s="71">
        <f t="shared" si="0"/>
        <v>1594.3333333333333</v>
      </c>
      <c r="E24" s="71">
        <f t="shared" si="1"/>
        <v>1586.1428571428571</v>
      </c>
      <c r="F24" s="71">
        <f t="shared" si="2"/>
        <v>1625.4285714285713</v>
      </c>
    </row>
    <row r="25" spans="2:6" ht="15.6" x14ac:dyDescent="0.3">
      <c r="B25" s="6">
        <v>45069</v>
      </c>
      <c r="C25" s="7">
        <v>1780</v>
      </c>
      <c r="D25" s="71">
        <f t="shared" si="0"/>
        <v>1924</v>
      </c>
      <c r="E25" s="71">
        <f t="shared" si="1"/>
        <v>1636.4285714285713</v>
      </c>
      <c r="F25" s="71">
        <f t="shared" si="2"/>
        <v>1620.8214285714287</v>
      </c>
    </row>
    <row r="26" spans="2:6" ht="15.6" x14ac:dyDescent="0.3">
      <c r="B26" s="6">
        <v>45070</v>
      </c>
      <c r="C26" s="7">
        <v>2071</v>
      </c>
      <c r="D26" s="71">
        <f t="shared" si="0"/>
        <v>1888</v>
      </c>
      <c r="E26" s="71">
        <f t="shared" si="1"/>
        <v>1669</v>
      </c>
      <c r="F26" s="71">
        <f t="shared" si="2"/>
        <v>1619.8214285714287</v>
      </c>
    </row>
    <row r="27" spans="2:6" ht="15.6" x14ac:dyDescent="0.3">
      <c r="B27" s="6">
        <v>45071</v>
      </c>
      <c r="C27" s="7">
        <v>1813</v>
      </c>
      <c r="D27" s="71">
        <f t="shared" si="0"/>
        <v>1888</v>
      </c>
      <c r="E27" s="71">
        <f t="shared" si="1"/>
        <v>1669</v>
      </c>
      <c r="F27" s="71">
        <f t="shared" si="2"/>
        <v>1609.7142857142858</v>
      </c>
    </row>
    <row r="28" spans="2:6" ht="15.6" x14ac:dyDescent="0.3">
      <c r="B28" s="6">
        <v>45072</v>
      </c>
      <c r="C28" s="7">
        <v>1780</v>
      </c>
      <c r="D28" s="71">
        <f t="shared" si="0"/>
        <v>1609.6666666666667</v>
      </c>
      <c r="E28" s="71">
        <f t="shared" si="1"/>
        <v>1648.4285714285713</v>
      </c>
      <c r="F28" s="71">
        <f t="shared" si="2"/>
        <v>1605.7142857142858</v>
      </c>
    </row>
    <row r="29" spans="2:6" ht="15.6" x14ac:dyDescent="0.3">
      <c r="B29" s="6">
        <v>45073</v>
      </c>
      <c r="C29" s="7">
        <v>1236</v>
      </c>
      <c r="D29" s="71">
        <f t="shared" si="0"/>
        <v>1366</v>
      </c>
      <c r="E29" s="71">
        <f t="shared" si="1"/>
        <v>1646.4285714285713</v>
      </c>
      <c r="F29" s="71">
        <f t="shared" si="2"/>
        <v>1608.7142857142858</v>
      </c>
    </row>
    <row r="30" spans="2:6" ht="15.6" x14ac:dyDescent="0.3">
      <c r="B30" s="6">
        <v>45074</v>
      </c>
      <c r="C30" s="7">
        <v>1082</v>
      </c>
      <c r="D30" s="71">
        <f t="shared" si="0"/>
        <v>1365</v>
      </c>
      <c r="E30" s="71">
        <f t="shared" si="1"/>
        <v>1619.7142857142858</v>
      </c>
      <c r="F30" s="71">
        <f t="shared" si="2"/>
        <v>1606.6785714285713</v>
      </c>
    </row>
    <row r="31" spans="2:6" ht="15.6" x14ac:dyDescent="0.3">
      <c r="B31" s="6">
        <v>45075</v>
      </c>
      <c r="C31" s="7">
        <v>1777</v>
      </c>
      <c r="D31" s="71">
        <f t="shared" si="0"/>
        <v>1541.6666666666667</v>
      </c>
      <c r="E31" s="71">
        <f t="shared" si="1"/>
        <v>1615</v>
      </c>
      <c r="F31" s="71">
        <f t="shared" si="2"/>
        <v>1642.3571428571429</v>
      </c>
    </row>
    <row r="32" spans="2:6" ht="15.6" x14ac:dyDescent="0.3">
      <c r="B32" s="6">
        <v>45076</v>
      </c>
      <c r="C32" s="7">
        <v>1766</v>
      </c>
      <c r="D32" s="71">
        <f t="shared" si="0"/>
        <v>1809</v>
      </c>
      <c r="E32" s="71">
        <f t="shared" si="1"/>
        <v>1585.2857142857142</v>
      </c>
      <c r="F32" s="71">
        <f t="shared" si="2"/>
        <v>1714.3928571428571</v>
      </c>
    </row>
    <row r="33" spans="2:6" ht="15.6" x14ac:dyDescent="0.3">
      <c r="B33" s="6">
        <v>45077</v>
      </c>
      <c r="C33" s="7">
        <v>1884</v>
      </c>
      <c r="D33" s="71">
        <f t="shared" si="0"/>
        <v>1810</v>
      </c>
      <c r="E33" s="71">
        <f t="shared" si="1"/>
        <v>1544.1428571428571</v>
      </c>
      <c r="F33" s="71">
        <f t="shared" si="2"/>
        <v>1786.7142857142858</v>
      </c>
    </row>
    <row r="34" spans="2:6" ht="15.6" x14ac:dyDescent="0.3">
      <c r="B34" s="6">
        <v>45078</v>
      </c>
      <c r="C34" s="7">
        <v>1780</v>
      </c>
      <c r="D34" s="71">
        <f t="shared" si="0"/>
        <v>1745.3333333333333</v>
      </c>
      <c r="E34" s="71">
        <f t="shared" si="1"/>
        <v>1544.5714285714287</v>
      </c>
      <c r="F34" s="71">
        <f t="shared" si="2"/>
        <v>1855.5714285714287</v>
      </c>
    </row>
    <row r="35" spans="2:6" ht="15.6" x14ac:dyDescent="0.3">
      <c r="B35" s="6">
        <v>45079</v>
      </c>
      <c r="C35" s="7">
        <v>1572</v>
      </c>
      <c r="D35" s="71">
        <f t="shared" si="0"/>
        <v>1433.3333333333333</v>
      </c>
      <c r="E35" s="71">
        <f t="shared" si="1"/>
        <v>1707.4285714285713</v>
      </c>
      <c r="F35" s="71">
        <f t="shared" si="2"/>
        <v>1908.1785714285713</v>
      </c>
    </row>
    <row r="36" spans="2:6" ht="15.6" x14ac:dyDescent="0.3">
      <c r="B36" s="6">
        <v>45080</v>
      </c>
      <c r="C36" s="7">
        <v>948</v>
      </c>
      <c r="D36" s="71">
        <f t="shared" si="0"/>
        <v>1201.6666666666667</v>
      </c>
      <c r="E36" s="71">
        <f t="shared" si="1"/>
        <v>1855.2857142857142</v>
      </c>
      <c r="F36" s="71">
        <f t="shared" si="2"/>
        <v>1938.6428571428571</v>
      </c>
    </row>
    <row r="37" spans="2:6" ht="15.6" x14ac:dyDescent="0.3">
      <c r="B37" s="6">
        <v>45081</v>
      </c>
      <c r="C37" s="7">
        <v>1085</v>
      </c>
      <c r="D37" s="71">
        <f t="shared" si="0"/>
        <v>1650</v>
      </c>
      <c r="E37" s="71">
        <f t="shared" si="1"/>
        <v>2025.4285714285713</v>
      </c>
      <c r="F37" s="71">
        <f t="shared" si="2"/>
        <v>1974.6785714285713</v>
      </c>
    </row>
    <row r="38" spans="2:6" ht="15.6" x14ac:dyDescent="0.3">
      <c r="B38" s="6">
        <v>45082</v>
      </c>
      <c r="C38" s="7">
        <v>2917</v>
      </c>
      <c r="D38" s="71">
        <f t="shared" si="0"/>
        <v>2267.6666666666665</v>
      </c>
      <c r="E38" s="71">
        <f t="shared" si="1"/>
        <v>2162.1428571428573</v>
      </c>
      <c r="F38" s="71">
        <f t="shared" si="2"/>
        <v>2047.1785714285713</v>
      </c>
    </row>
    <row r="39" spans="2:6" ht="15.6" x14ac:dyDescent="0.3">
      <c r="B39" s="6">
        <v>45083</v>
      </c>
      <c r="C39" s="7">
        <v>2801</v>
      </c>
      <c r="D39" s="71">
        <f t="shared" si="0"/>
        <v>2931</v>
      </c>
      <c r="E39" s="71">
        <f t="shared" si="1"/>
        <v>2270.2857142857142</v>
      </c>
      <c r="F39" s="71">
        <f t="shared" si="2"/>
        <v>2117.25</v>
      </c>
    </row>
    <row r="40" spans="2:6" ht="15.6" x14ac:dyDescent="0.3">
      <c r="B40" s="6">
        <v>45084</v>
      </c>
      <c r="C40" s="7">
        <v>3075</v>
      </c>
      <c r="D40" s="71">
        <f t="shared" si="0"/>
        <v>2871</v>
      </c>
      <c r="E40" s="71">
        <f t="shared" si="1"/>
        <v>2354.8571428571427</v>
      </c>
      <c r="F40" s="71">
        <f t="shared" si="2"/>
        <v>2177.25</v>
      </c>
    </row>
    <row r="41" spans="2:6" ht="15.6" x14ac:dyDescent="0.3">
      <c r="B41" s="6">
        <v>45085</v>
      </c>
      <c r="C41" s="7">
        <v>2737</v>
      </c>
      <c r="D41" s="71">
        <f t="shared" si="0"/>
        <v>2713.6666666666665</v>
      </c>
      <c r="E41" s="71">
        <f t="shared" si="1"/>
        <v>2455.1428571428573</v>
      </c>
      <c r="F41" s="71">
        <f t="shared" si="2"/>
        <v>2265.6785714285716</v>
      </c>
    </row>
    <row r="42" spans="2:6" ht="15.6" x14ac:dyDescent="0.3">
      <c r="B42" s="6">
        <v>45086</v>
      </c>
      <c r="C42" s="7">
        <v>2329</v>
      </c>
      <c r="D42" s="71">
        <f t="shared" si="0"/>
        <v>2202</v>
      </c>
      <c r="E42" s="71">
        <f t="shared" si="1"/>
        <v>2481.5714285714284</v>
      </c>
      <c r="F42" s="71">
        <f t="shared" si="2"/>
        <v>2339.0714285714284</v>
      </c>
    </row>
    <row r="43" spans="2:6" ht="15.6" x14ac:dyDescent="0.3">
      <c r="B43" s="6">
        <v>45087</v>
      </c>
      <c r="C43" s="7">
        <v>1540</v>
      </c>
      <c r="D43" s="71">
        <f t="shared" si="0"/>
        <v>1885.3333333333333</v>
      </c>
      <c r="E43" s="71">
        <f t="shared" si="1"/>
        <v>2424.7142857142858</v>
      </c>
      <c r="F43" s="71">
        <f t="shared" si="2"/>
        <v>2391</v>
      </c>
    </row>
    <row r="44" spans="2:6" ht="15.6" x14ac:dyDescent="0.3">
      <c r="B44" s="6">
        <v>45088</v>
      </c>
      <c r="C44" s="7">
        <v>1787</v>
      </c>
      <c r="D44" s="71">
        <f t="shared" si="0"/>
        <v>2143</v>
      </c>
      <c r="E44" s="71">
        <f t="shared" si="1"/>
        <v>2403.5714285714284</v>
      </c>
      <c r="F44" s="71">
        <f t="shared" si="2"/>
        <v>2432.25</v>
      </c>
    </row>
    <row r="45" spans="2:6" ht="15.6" x14ac:dyDescent="0.3">
      <c r="B45" s="6">
        <v>45089</v>
      </c>
      <c r="C45" s="7">
        <v>3102</v>
      </c>
      <c r="D45" s="71">
        <f t="shared" si="0"/>
        <v>2430.6666666666665</v>
      </c>
      <c r="E45" s="71">
        <f t="shared" si="1"/>
        <v>2471.5714285714284</v>
      </c>
      <c r="F45" s="71">
        <f t="shared" si="2"/>
        <v>2443.8928571428573</v>
      </c>
    </row>
    <row r="46" spans="2:6" ht="15.6" x14ac:dyDescent="0.3">
      <c r="B46" s="6">
        <v>45090</v>
      </c>
      <c r="C46" s="7">
        <v>2403</v>
      </c>
      <c r="D46" s="71">
        <f t="shared" si="0"/>
        <v>2810.6666666666665</v>
      </c>
      <c r="E46" s="71">
        <f t="shared" si="1"/>
        <v>2452.2857142857142</v>
      </c>
      <c r="F46" s="71">
        <f t="shared" si="2"/>
        <v>2438.5</v>
      </c>
    </row>
    <row r="47" spans="2:6" ht="15.6" x14ac:dyDescent="0.3">
      <c r="B47" s="6">
        <v>45091</v>
      </c>
      <c r="C47" s="7">
        <v>2927</v>
      </c>
      <c r="D47" s="71">
        <f t="shared" si="0"/>
        <v>2847.6666666666665</v>
      </c>
      <c r="E47" s="71">
        <f t="shared" si="1"/>
        <v>2486.5714285714284</v>
      </c>
      <c r="F47" s="71">
        <f t="shared" si="2"/>
        <v>2431.0357142857142</v>
      </c>
    </row>
    <row r="48" spans="2:6" ht="15.6" x14ac:dyDescent="0.3">
      <c r="B48" s="6">
        <v>45092</v>
      </c>
      <c r="C48" s="7">
        <v>3213</v>
      </c>
      <c r="D48" s="71">
        <f t="shared" si="0"/>
        <v>2778</v>
      </c>
      <c r="E48" s="71">
        <f t="shared" si="1"/>
        <v>2432.4285714285716</v>
      </c>
      <c r="F48" s="71">
        <f t="shared" si="2"/>
        <v>2414.8214285714284</v>
      </c>
    </row>
    <row r="49" spans="2:6" ht="15.6" x14ac:dyDescent="0.3">
      <c r="B49" s="6">
        <v>45093</v>
      </c>
      <c r="C49" s="7">
        <v>2194</v>
      </c>
      <c r="D49" s="71">
        <f t="shared" si="0"/>
        <v>2395.6666666666665</v>
      </c>
      <c r="E49" s="71">
        <f t="shared" si="1"/>
        <v>2406.4285714285716</v>
      </c>
      <c r="F49" s="71">
        <f t="shared" si="2"/>
        <v>2422.75</v>
      </c>
    </row>
    <row r="50" spans="2:6" ht="15.6" x14ac:dyDescent="0.3">
      <c r="B50" s="6">
        <v>45094</v>
      </c>
      <c r="C50" s="7">
        <v>1780</v>
      </c>
      <c r="D50" s="71">
        <f t="shared" si="0"/>
        <v>1794</v>
      </c>
      <c r="E50" s="71">
        <f t="shared" si="1"/>
        <v>2441.2857142857142</v>
      </c>
      <c r="F50" s="71">
        <f t="shared" si="2"/>
        <v>2447.1071428571427</v>
      </c>
    </row>
    <row r="51" spans="2:6" ht="15.6" x14ac:dyDescent="0.3">
      <c r="B51" s="6">
        <v>45095</v>
      </c>
      <c r="C51" s="7">
        <v>1408</v>
      </c>
      <c r="D51" s="71">
        <f t="shared" si="0"/>
        <v>2036</v>
      </c>
      <c r="E51" s="71">
        <f t="shared" si="1"/>
        <v>2454.5714285714284</v>
      </c>
      <c r="F51" s="71">
        <f t="shared" si="2"/>
        <v>2443.1428571428573</v>
      </c>
    </row>
    <row r="52" spans="2:6" ht="15.6" x14ac:dyDescent="0.3">
      <c r="B52" s="6">
        <v>45096</v>
      </c>
      <c r="C52" s="7">
        <v>2920</v>
      </c>
      <c r="D52" s="71">
        <f t="shared" si="0"/>
        <v>2325</v>
      </c>
      <c r="E52" s="71">
        <f t="shared" si="1"/>
        <v>2329.5714285714284</v>
      </c>
      <c r="F52" s="71">
        <f t="shared" si="2"/>
        <v>2326.2142857142858</v>
      </c>
    </row>
    <row r="53" spans="2:6" ht="15.6" x14ac:dyDescent="0.3">
      <c r="B53" s="6">
        <v>45097</v>
      </c>
      <c r="C53" s="7">
        <v>2647</v>
      </c>
      <c r="D53" s="71">
        <f t="shared" si="0"/>
        <v>2862.3333333333335</v>
      </c>
      <c r="E53" s="71">
        <f t="shared" si="1"/>
        <v>2437.5714285714284</v>
      </c>
      <c r="F53" s="71">
        <f t="shared" si="2"/>
        <v>2129.6071428571427</v>
      </c>
    </row>
    <row r="54" spans="2:6" ht="15.6" x14ac:dyDescent="0.3">
      <c r="B54" s="6">
        <v>45098</v>
      </c>
      <c r="C54" s="7">
        <v>3020</v>
      </c>
      <c r="D54" s="71">
        <f t="shared" si="0"/>
        <v>2668.3333333333335</v>
      </c>
      <c r="E54" s="71">
        <f t="shared" si="1"/>
        <v>2412</v>
      </c>
      <c r="F54" s="71">
        <f t="shared" si="2"/>
        <v>1939.25</v>
      </c>
    </row>
    <row r="55" spans="2:6" ht="15.6" x14ac:dyDescent="0.3">
      <c r="B55" s="6">
        <v>45099</v>
      </c>
      <c r="C55" s="7">
        <v>2338</v>
      </c>
      <c r="D55" s="71">
        <f t="shared" si="0"/>
        <v>2769.3333333333335</v>
      </c>
      <c r="E55" s="71">
        <f t="shared" si="1"/>
        <v>2441.5714285714284</v>
      </c>
      <c r="F55" s="71">
        <f t="shared" si="2"/>
        <v>1719.9642857142858</v>
      </c>
    </row>
    <row r="56" spans="2:6" ht="15.6" x14ac:dyDescent="0.3">
      <c r="B56" s="6">
        <v>45100</v>
      </c>
      <c r="C56" s="7">
        <v>2950</v>
      </c>
      <c r="D56" s="71">
        <f t="shared" si="0"/>
        <v>2296.3333333333335</v>
      </c>
      <c r="E56" s="71">
        <f t="shared" si="1"/>
        <v>2361.8333333333335</v>
      </c>
      <c r="F56" s="71">
        <f t="shared" si="2"/>
        <v>1526.8571428571429</v>
      </c>
    </row>
    <row r="57" spans="2:6" ht="15.6" x14ac:dyDescent="0.3">
      <c r="B57" s="6">
        <v>45101</v>
      </c>
      <c r="C57" s="7">
        <v>1601</v>
      </c>
      <c r="D57" s="71">
        <f t="shared" si="0"/>
        <v>2055.3333333333335</v>
      </c>
      <c r="E57" s="71">
        <f t="shared" si="1"/>
        <v>2304.8000000000002</v>
      </c>
      <c r="F57" s="71">
        <f t="shared" si="2"/>
        <v>1384.9285714285713</v>
      </c>
    </row>
    <row r="58" spans="2:6" ht="15.6" x14ac:dyDescent="0.3">
      <c r="B58" s="6">
        <v>45102</v>
      </c>
      <c r="C58" s="7">
        <v>1615</v>
      </c>
      <c r="D58" s="71">
        <f t="shared" si="0"/>
        <v>1608</v>
      </c>
      <c r="E58" s="71">
        <f t="shared" si="1"/>
        <v>2126</v>
      </c>
      <c r="F58" s="71">
        <f t="shared" si="2"/>
        <v>1271.0714285714287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EC20-6518-4894-8C0E-321A67CB0336}">
  <dimension ref="B2:J60"/>
  <sheetViews>
    <sheetView workbookViewId="0">
      <selection activeCell="F12" sqref="F12"/>
    </sheetView>
  </sheetViews>
  <sheetFormatPr defaultRowHeight="14.4" x14ac:dyDescent="0.3"/>
  <cols>
    <col min="3" max="3" width="12.77734375" customWidth="1"/>
    <col min="5" max="5" width="19.44140625" style="8" customWidth="1"/>
    <col min="10" max="10" width="21.109375" customWidth="1"/>
  </cols>
  <sheetData>
    <row r="2" spans="2:10" x14ac:dyDescent="0.3">
      <c r="I2" s="43"/>
      <c r="J2" s="43"/>
    </row>
    <row r="3" spans="2:10" ht="15.6" x14ac:dyDescent="0.3">
      <c r="B3" s="72" t="s">
        <v>1</v>
      </c>
      <c r="C3" s="73" t="s">
        <v>2</v>
      </c>
      <c r="D3" s="41" t="s">
        <v>4</v>
      </c>
      <c r="E3" s="77" t="s">
        <v>6</v>
      </c>
      <c r="I3" s="74"/>
      <c r="J3" s="43"/>
    </row>
    <row r="4" spans="2:10" ht="15.6" x14ac:dyDescent="0.3">
      <c r="B4" s="6">
        <v>45047</v>
      </c>
      <c r="C4" s="7">
        <v>1576</v>
      </c>
      <c r="D4" s="14"/>
      <c r="E4" s="76"/>
      <c r="I4" s="75"/>
      <c r="J4" s="43"/>
    </row>
    <row r="5" spans="2:10" ht="15.6" x14ac:dyDescent="0.3">
      <c r="B5" s="6">
        <v>45048</v>
      </c>
      <c r="C5" s="7">
        <v>2299</v>
      </c>
      <c r="D5" s="14"/>
      <c r="E5" s="76"/>
      <c r="I5" s="75"/>
      <c r="J5" s="43"/>
    </row>
    <row r="6" spans="2:10" ht="15.6" x14ac:dyDescent="0.3">
      <c r="B6" s="6">
        <v>45049</v>
      </c>
      <c r="C6" s="7">
        <v>1878</v>
      </c>
      <c r="D6" s="14"/>
      <c r="E6" s="76"/>
      <c r="I6" s="75"/>
      <c r="J6" s="43"/>
    </row>
    <row r="7" spans="2:10" ht="15.6" x14ac:dyDescent="0.3">
      <c r="B7" s="6">
        <v>45050</v>
      </c>
      <c r="C7" s="7">
        <v>1628</v>
      </c>
      <c r="D7" s="71">
        <f>AVERAGE(C4:C10)</f>
        <v>1577.1428571428571</v>
      </c>
      <c r="E7" s="76">
        <f>C7-D7</f>
        <v>50.85714285714289</v>
      </c>
      <c r="I7" s="75"/>
      <c r="J7" s="43"/>
    </row>
    <row r="8" spans="2:10" ht="15.6" x14ac:dyDescent="0.3">
      <c r="B8" s="6">
        <v>45051</v>
      </c>
      <c r="C8" s="7">
        <v>1555</v>
      </c>
      <c r="D8" s="71">
        <f t="shared" ref="D8:D56" si="0">AVERAGE(C5:C11)</f>
        <v>1620.8571428571429</v>
      </c>
      <c r="E8" s="76">
        <f>C8-D8</f>
        <v>-65.85714285714289</v>
      </c>
      <c r="I8" s="75"/>
      <c r="J8" s="43"/>
    </row>
    <row r="9" spans="2:10" ht="15.6" x14ac:dyDescent="0.3">
      <c r="B9" s="6">
        <v>45052</v>
      </c>
      <c r="C9" s="7">
        <v>1240</v>
      </c>
      <c r="D9" s="71">
        <f t="shared" si="0"/>
        <v>1621.8571428571429</v>
      </c>
      <c r="E9" s="76">
        <f t="shared" ref="E9:E56" si="1">C9-D9</f>
        <v>-381.85714285714289</v>
      </c>
      <c r="I9" s="75"/>
      <c r="J9" s="43"/>
    </row>
    <row r="10" spans="2:10" ht="15.6" x14ac:dyDescent="0.3">
      <c r="B10" s="6">
        <v>45053</v>
      </c>
      <c r="C10" s="7">
        <v>864</v>
      </c>
      <c r="D10" s="71">
        <f t="shared" si="0"/>
        <v>1637.5714285714287</v>
      </c>
      <c r="E10" s="76">
        <f t="shared" si="1"/>
        <v>-773.57142857142867</v>
      </c>
      <c r="I10" s="75"/>
      <c r="J10" s="43"/>
    </row>
    <row r="11" spans="2:10" ht="15.6" x14ac:dyDescent="0.3">
      <c r="B11" s="6">
        <v>45054</v>
      </c>
      <c r="C11" s="7">
        <v>1882</v>
      </c>
      <c r="D11" s="71">
        <f t="shared" si="0"/>
        <v>1674.4285714285713</v>
      </c>
      <c r="E11" s="76">
        <f t="shared" si="1"/>
        <v>207.57142857142867</v>
      </c>
      <c r="I11" s="75"/>
      <c r="J11" s="43"/>
    </row>
    <row r="12" spans="2:10" ht="15.6" x14ac:dyDescent="0.3">
      <c r="B12" s="6">
        <v>45055</v>
      </c>
      <c r="C12" s="7">
        <v>2306</v>
      </c>
      <c r="D12" s="71">
        <f t="shared" si="0"/>
        <v>1647.2857142857142</v>
      </c>
      <c r="E12" s="76">
        <f t="shared" si="1"/>
        <v>658.71428571428578</v>
      </c>
      <c r="I12" s="75"/>
      <c r="J12" s="43"/>
    </row>
    <row r="13" spans="2:10" ht="15.6" x14ac:dyDescent="0.3">
      <c r="B13" s="6">
        <v>45056</v>
      </c>
      <c r="C13" s="7">
        <v>1988</v>
      </c>
      <c r="D13" s="71">
        <f t="shared" si="0"/>
        <v>1612.7142857142858</v>
      </c>
      <c r="E13" s="76">
        <f t="shared" si="1"/>
        <v>375.28571428571422</v>
      </c>
      <c r="I13" s="75"/>
      <c r="J13" s="43"/>
    </row>
    <row r="14" spans="2:10" ht="15.6" x14ac:dyDescent="0.3">
      <c r="B14" s="6">
        <v>45057</v>
      </c>
      <c r="C14" s="7">
        <v>1886</v>
      </c>
      <c r="D14" s="71">
        <f t="shared" si="0"/>
        <v>1639.5714285714287</v>
      </c>
      <c r="E14" s="76">
        <f t="shared" si="1"/>
        <v>246.42857142857133</v>
      </c>
      <c r="I14" s="75"/>
      <c r="J14" s="43"/>
    </row>
    <row r="15" spans="2:10" ht="15.6" x14ac:dyDescent="0.3">
      <c r="B15" s="6">
        <v>45058</v>
      </c>
      <c r="C15" s="7">
        <v>1365</v>
      </c>
      <c r="D15" s="71">
        <f t="shared" si="0"/>
        <v>1642.8571428571429</v>
      </c>
      <c r="E15" s="76">
        <f t="shared" si="1"/>
        <v>-277.85714285714289</v>
      </c>
      <c r="I15" s="75"/>
      <c r="J15" s="43"/>
    </row>
    <row r="16" spans="2:10" ht="15.6" x14ac:dyDescent="0.3">
      <c r="B16" s="6">
        <v>45059</v>
      </c>
      <c r="C16" s="7">
        <v>998</v>
      </c>
      <c r="D16" s="71">
        <f t="shared" si="0"/>
        <v>1565.8571428571429</v>
      </c>
      <c r="E16" s="76">
        <f t="shared" si="1"/>
        <v>-567.85714285714289</v>
      </c>
      <c r="I16" s="75"/>
      <c r="J16" s="43"/>
    </row>
    <row r="17" spans="2:10" ht="15.6" x14ac:dyDescent="0.3">
      <c r="B17" s="6">
        <v>45060</v>
      </c>
      <c r="C17" s="7">
        <v>1052</v>
      </c>
      <c r="D17" s="71">
        <f t="shared" si="0"/>
        <v>1554.8571428571429</v>
      </c>
      <c r="E17" s="76">
        <f t="shared" si="1"/>
        <v>-502.85714285714289</v>
      </c>
      <c r="I17" s="75"/>
      <c r="J17" s="43"/>
    </row>
    <row r="18" spans="2:10" ht="15.6" x14ac:dyDescent="0.3">
      <c r="B18" s="6">
        <v>45061</v>
      </c>
      <c r="C18" s="7">
        <v>1905</v>
      </c>
      <c r="D18" s="71">
        <f t="shared" si="0"/>
        <v>1576.2857142857142</v>
      </c>
      <c r="E18" s="76">
        <f t="shared" si="1"/>
        <v>328.71428571428578</v>
      </c>
      <c r="I18" s="75"/>
      <c r="J18" s="43"/>
    </row>
    <row r="19" spans="2:10" ht="15.6" x14ac:dyDescent="0.3">
      <c r="B19" s="6">
        <v>45062</v>
      </c>
      <c r="C19" s="7">
        <v>1767</v>
      </c>
      <c r="D19" s="71">
        <f t="shared" si="0"/>
        <v>1585.2857142857142</v>
      </c>
      <c r="E19" s="76">
        <f t="shared" si="1"/>
        <v>181.71428571428578</v>
      </c>
      <c r="I19" s="75"/>
      <c r="J19" s="43"/>
    </row>
    <row r="20" spans="2:10" ht="15.6" x14ac:dyDescent="0.3">
      <c r="B20" s="6">
        <v>45063</v>
      </c>
      <c r="C20" s="7">
        <v>1911</v>
      </c>
      <c r="D20" s="71">
        <f t="shared" si="0"/>
        <v>1586.7142857142858</v>
      </c>
      <c r="E20" s="76">
        <f t="shared" si="1"/>
        <v>324.28571428571422</v>
      </c>
      <c r="I20" s="75"/>
      <c r="J20" s="43"/>
    </row>
    <row r="21" spans="2:10" ht="15.6" x14ac:dyDescent="0.3">
      <c r="B21" s="6">
        <v>45064</v>
      </c>
      <c r="C21" s="7">
        <v>2036</v>
      </c>
      <c r="D21" s="71">
        <f t="shared" si="0"/>
        <v>1591</v>
      </c>
      <c r="E21" s="76">
        <f t="shared" si="1"/>
        <v>445</v>
      </c>
      <c r="I21" s="75"/>
      <c r="J21" s="43"/>
    </row>
    <row r="22" spans="2:10" ht="15.6" x14ac:dyDescent="0.3">
      <c r="B22" s="6">
        <v>45065</v>
      </c>
      <c r="C22" s="7">
        <v>1428</v>
      </c>
      <c r="D22" s="71">
        <f t="shared" si="0"/>
        <v>1593.2857142857142</v>
      </c>
      <c r="E22" s="76">
        <f t="shared" si="1"/>
        <v>-165.28571428571422</v>
      </c>
      <c r="I22" s="75"/>
      <c r="J22" s="43"/>
    </row>
    <row r="23" spans="2:10" ht="15.6" x14ac:dyDescent="0.3">
      <c r="B23" s="6">
        <v>45066</v>
      </c>
      <c r="C23" s="7">
        <v>1008</v>
      </c>
      <c r="D23" s="71">
        <f t="shared" si="0"/>
        <v>1595.1428571428571</v>
      </c>
      <c r="E23" s="76">
        <f t="shared" si="1"/>
        <v>-587.14285714285711</v>
      </c>
      <c r="I23" s="75"/>
      <c r="J23" s="43"/>
    </row>
    <row r="24" spans="2:10" ht="15.6" x14ac:dyDescent="0.3">
      <c r="B24" s="6">
        <v>45067</v>
      </c>
      <c r="C24" s="7">
        <v>1082</v>
      </c>
      <c r="D24" s="71">
        <f t="shared" si="0"/>
        <v>1618</v>
      </c>
      <c r="E24" s="76">
        <f t="shared" si="1"/>
        <v>-536</v>
      </c>
      <c r="I24" s="75"/>
      <c r="J24" s="43"/>
    </row>
    <row r="25" spans="2:10" ht="15.6" x14ac:dyDescent="0.3">
      <c r="B25" s="6">
        <v>45068</v>
      </c>
      <c r="C25" s="7">
        <v>1921</v>
      </c>
      <c r="D25" s="71">
        <f t="shared" si="0"/>
        <v>1586.1428571428571</v>
      </c>
      <c r="E25" s="76">
        <f t="shared" si="1"/>
        <v>334.85714285714289</v>
      </c>
      <c r="I25" s="75"/>
      <c r="J25" s="43"/>
    </row>
    <row r="26" spans="2:10" ht="15.6" x14ac:dyDescent="0.3">
      <c r="B26" s="6">
        <v>45069</v>
      </c>
      <c r="C26" s="7">
        <v>1780</v>
      </c>
      <c r="D26" s="71">
        <f t="shared" si="0"/>
        <v>1636.4285714285713</v>
      </c>
      <c r="E26" s="76">
        <f t="shared" si="1"/>
        <v>143.57142857142867</v>
      </c>
      <c r="I26" s="75"/>
      <c r="J26" s="43"/>
    </row>
    <row r="27" spans="2:10" ht="15.6" x14ac:dyDescent="0.3">
      <c r="B27" s="6">
        <v>45070</v>
      </c>
      <c r="C27" s="7">
        <v>2071</v>
      </c>
      <c r="D27" s="71">
        <f t="shared" si="0"/>
        <v>1669</v>
      </c>
      <c r="E27" s="76">
        <f t="shared" si="1"/>
        <v>402</v>
      </c>
      <c r="I27" s="75"/>
      <c r="J27" s="43"/>
    </row>
    <row r="28" spans="2:10" ht="15.6" x14ac:dyDescent="0.3">
      <c r="B28" s="6">
        <v>45071</v>
      </c>
      <c r="C28" s="7">
        <v>1813</v>
      </c>
      <c r="D28" s="71">
        <f t="shared" si="0"/>
        <v>1669</v>
      </c>
      <c r="E28" s="76">
        <f t="shared" si="1"/>
        <v>144</v>
      </c>
      <c r="I28" s="75"/>
      <c r="J28" s="43"/>
    </row>
    <row r="29" spans="2:10" ht="15.6" x14ac:dyDescent="0.3">
      <c r="B29" s="6">
        <v>45072</v>
      </c>
      <c r="C29" s="7">
        <v>1780</v>
      </c>
      <c r="D29" s="71">
        <f t="shared" si="0"/>
        <v>1648.4285714285713</v>
      </c>
      <c r="E29" s="76">
        <f t="shared" si="1"/>
        <v>131.57142857142867</v>
      </c>
      <c r="I29" s="75"/>
      <c r="J29" s="43"/>
    </row>
    <row r="30" spans="2:10" ht="15.6" x14ac:dyDescent="0.3">
      <c r="B30" s="6">
        <v>45073</v>
      </c>
      <c r="C30" s="7">
        <v>1236</v>
      </c>
      <c r="D30" s="71">
        <f t="shared" si="0"/>
        <v>1646.4285714285713</v>
      </c>
      <c r="E30" s="76">
        <f t="shared" si="1"/>
        <v>-410.42857142857133</v>
      </c>
      <c r="I30" s="75"/>
      <c r="J30" s="43"/>
    </row>
    <row r="31" spans="2:10" ht="15.6" x14ac:dyDescent="0.3">
      <c r="B31" s="6">
        <v>45074</v>
      </c>
      <c r="C31" s="7">
        <v>1082</v>
      </c>
      <c r="D31" s="71">
        <f t="shared" si="0"/>
        <v>1619.7142857142858</v>
      </c>
      <c r="E31" s="76">
        <f t="shared" si="1"/>
        <v>-537.71428571428578</v>
      </c>
      <c r="I31" s="75"/>
      <c r="J31" s="43"/>
    </row>
    <row r="32" spans="2:10" ht="15.6" x14ac:dyDescent="0.3">
      <c r="B32" s="6">
        <v>45075</v>
      </c>
      <c r="C32" s="7">
        <v>1777</v>
      </c>
      <c r="D32" s="71">
        <f t="shared" si="0"/>
        <v>1615</v>
      </c>
      <c r="E32" s="76">
        <f t="shared" si="1"/>
        <v>162</v>
      </c>
      <c r="I32" s="75"/>
      <c r="J32" s="43"/>
    </row>
    <row r="33" spans="2:10" ht="15.6" x14ac:dyDescent="0.3">
      <c r="B33" s="6">
        <v>45076</v>
      </c>
      <c r="C33" s="7">
        <v>1766</v>
      </c>
      <c r="D33" s="71">
        <f t="shared" si="0"/>
        <v>1585.2857142857142</v>
      </c>
      <c r="E33" s="76">
        <f t="shared" si="1"/>
        <v>180.71428571428578</v>
      </c>
      <c r="I33" s="75"/>
      <c r="J33" s="43"/>
    </row>
    <row r="34" spans="2:10" ht="15.6" x14ac:dyDescent="0.3">
      <c r="B34" s="6">
        <v>45077</v>
      </c>
      <c r="C34" s="7">
        <v>1884</v>
      </c>
      <c r="D34" s="71">
        <f t="shared" si="0"/>
        <v>1544.1428571428571</v>
      </c>
      <c r="E34" s="76">
        <f t="shared" si="1"/>
        <v>339.85714285714289</v>
      </c>
      <c r="I34" s="75"/>
      <c r="J34" s="43"/>
    </row>
    <row r="35" spans="2:10" ht="15.6" x14ac:dyDescent="0.3">
      <c r="B35" s="6">
        <v>45078</v>
      </c>
      <c r="C35" s="7">
        <v>1780</v>
      </c>
      <c r="D35" s="71">
        <f t="shared" si="0"/>
        <v>1544.5714285714287</v>
      </c>
      <c r="E35" s="76">
        <f t="shared" si="1"/>
        <v>235.42857142857133</v>
      </c>
      <c r="I35" s="75"/>
      <c r="J35" s="43"/>
    </row>
    <row r="36" spans="2:10" ht="15.6" x14ac:dyDescent="0.3">
      <c r="B36" s="6">
        <v>45079</v>
      </c>
      <c r="C36" s="7">
        <v>1572</v>
      </c>
      <c r="D36" s="71">
        <f t="shared" si="0"/>
        <v>1707.4285714285713</v>
      </c>
      <c r="E36" s="76">
        <f t="shared" si="1"/>
        <v>-135.42857142857133</v>
      </c>
      <c r="I36" s="75"/>
      <c r="J36" s="43"/>
    </row>
    <row r="37" spans="2:10" ht="15.6" x14ac:dyDescent="0.3">
      <c r="B37" s="6">
        <v>45080</v>
      </c>
      <c r="C37" s="7">
        <v>948</v>
      </c>
      <c r="D37" s="71">
        <f t="shared" si="0"/>
        <v>1855.2857142857142</v>
      </c>
      <c r="E37" s="76">
        <f t="shared" si="1"/>
        <v>-907.28571428571422</v>
      </c>
      <c r="I37" s="75"/>
      <c r="J37" s="43"/>
    </row>
    <row r="38" spans="2:10" ht="15.6" x14ac:dyDescent="0.3">
      <c r="B38" s="6">
        <v>45081</v>
      </c>
      <c r="C38" s="7">
        <v>1085</v>
      </c>
      <c r="D38" s="71">
        <f t="shared" si="0"/>
        <v>2025.4285714285713</v>
      </c>
      <c r="E38" s="76">
        <f t="shared" si="1"/>
        <v>-940.42857142857133</v>
      </c>
      <c r="I38" s="75"/>
      <c r="J38" s="43"/>
    </row>
    <row r="39" spans="2:10" ht="15.6" x14ac:dyDescent="0.3">
      <c r="B39" s="6">
        <v>45082</v>
      </c>
      <c r="C39" s="7">
        <v>2917</v>
      </c>
      <c r="D39" s="71">
        <f t="shared" si="0"/>
        <v>2162.1428571428573</v>
      </c>
      <c r="E39" s="76">
        <f t="shared" si="1"/>
        <v>754.85714285714266</v>
      </c>
      <c r="I39" s="75"/>
      <c r="J39" s="43"/>
    </row>
    <row r="40" spans="2:10" ht="15.6" x14ac:dyDescent="0.3">
      <c r="B40" s="6">
        <v>45083</v>
      </c>
      <c r="C40" s="7">
        <v>2801</v>
      </c>
      <c r="D40" s="71">
        <f t="shared" si="0"/>
        <v>2270.2857142857142</v>
      </c>
      <c r="E40" s="76">
        <f t="shared" si="1"/>
        <v>530.71428571428578</v>
      </c>
      <c r="I40" s="75"/>
      <c r="J40" s="43"/>
    </row>
    <row r="41" spans="2:10" ht="15.6" x14ac:dyDescent="0.3">
      <c r="B41" s="6">
        <v>45084</v>
      </c>
      <c r="C41" s="7">
        <v>3075</v>
      </c>
      <c r="D41" s="71">
        <f t="shared" si="0"/>
        <v>2354.8571428571427</v>
      </c>
      <c r="E41" s="76">
        <f t="shared" si="1"/>
        <v>720.14285714285734</v>
      </c>
      <c r="I41" s="75"/>
      <c r="J41" s="43"/>
    </row>
    <row r="42" spans="2:10" ht="15.6" x14ac:dyDescent="0.3">
      <c r="B42" s="6">
        <v>45085</v>
      </c>
      <c r="C42" s="7">
        <v>2737</v>
      </c>
      <c r="D42" s="71">
        <f t="shared" si="0"/>
        <v>2455.1428571428573</v>
      </c>
      <c r="E42" s="76">
        <f t="shared" si="1"/>
        <v>281.85714285714266</v>
      </c>
      <c r="I42" s="75"/>
      <c r="J42" s="43"/>
    </row>
    <row r="43" spans="2:10" ht="15.6" x14ac:dyDescent="0.3">
      <c r="B43" s="6">
        <v>45086</v>
      </c>
      <c r="C43" s="7">
        <v>2329</v>
      </c>
      <c r="D43" s="71">
        <f t="shared" si="0"/>
        <v>2481.5714285714284</v>
      </c>
      <c r="E43" s="76">
        <f t="shared" si="1"/>
        <v>-152.57142857142844</v>
      </c>
      <c r="I43" s="75"/>
      <c r="J43" s="43"/>
    </row>
    <row r="44" spans="2:10" ht="15.6" x14ac:dyDescent="0.3">
      <c r="B44" s="6">
        <v>45087</v>
      </c>
      <c r="C44" s="7">
        <v>1540</v>
      </c>
      <c r="D44" s="71">
        <f t="shared" si="0"/>
        <v>2424.7142857142858</v>
      </c>
      <c r="E44" s="76">
        <f t="shared" si="1"/>
        <v>-884.71428571428578</v>
      </c>
      <c r="I44" s="75"/>
      <c r="J44" s="43"/>
    </row>
    <row r="45" spans="2:10" ht="15.6" x14ac:dyDescent="0.3">
      <c r="B45" s="6">
        <v>45088</v>
      </c>
      <c r="C45" s="7">
        <v>1787</v>
      </c>
      <c r="D45" s="71">
        <f t="shared" si="0"/>
        <v>2403.5714285714284</v>
      </c>
      <c r="E45" s="76">
        <f t="shared" si="1"/>
        <v>-616.57142857142844</v>
      </c>
      <c r="I45" s="75"/>
      <c r="J45" s="43"/>
    </row>
    <row r="46" spans="2:10" ht="15.6" x14ac:dyDescent="0.3">
      <c r="B46" s="6">
        <v>45089</v>
      </c>
      <c r="C46" s="7">
        <v>3102</v>
      </c>
      <c r="D46" s="71">
        <f t="shared" si="0"/>
        <v>2471.5714285714284</v>
      </c>
      <c r="E46" s="76">
        <f t="shared" si="1"/>
        <v>630.42857142857156</v>
      </c>
      <c r="I46" s="75"/>
      <c r="J46" s="43"/>
    </row>
    <row r="47" spans="2:10" ht="15.6" x14ac:dyDescent="0.3">
      <c r="B47" s="6">
        <v>45090</v>
      </c>
      <c r="C47" s="7">
        <v>2403</v>
      </c>
      <c r="D47" s="71">
        <f t="shared" si="0"/>
        <v>2452.2857142857142</v>
      </c>
      <c r="E47" s="76">
        <f t="shared" si="1"/>
        <v>-49.285714285714221</v>
      </c>
      <c r="I47" s="75"/>
      <c r="J47" s="43"/>
    </row>
    <row r="48" spans="2:10" ht="15.6" x14ac:dyDescent="0.3">
      <c r="B48" s="6">
        <v>45091</v>
      </c>
      <c r="C48" s="7">
        <v>2927</v>
      </c>
      <c r="D48" s="71">
        <f t="shared" si="0"/>
        <v>2486.5714285714284</v>
      </c>
      <c r="E48" s="76">
        <f t="shared" si="1"/>
        <v>440.42857142857156</v>
      </c>
      <c r="I48" s="75"/>
      <c r="J48" s="43"/>
    </row>
    <row r="49" spans="2:10" ht="15.6" x14ac:dyDescent="0.3">
      <c r="B49" s="6">
        <v>45092</v>
      </c>
      <c r="C49" s="7">
        <v>3213</v>
      </c>
      <c r="D49" s="71">
        <f t="shared" si="0"/>
        <v>2432.4285714285716</v>
      </c>
      <c r="E49" s="76">
        <f t="shared" si="1"/>
        <v>780.57142857142844</v>
      </c>
      <c r="I49" s="75"/>
      <c r="J49" s="43"/>
    </row>
    <row r="50" spans="2:10" ht="15.6" x14ac:dyDescent="0.3">
      <c r="B50" s="6">
        <v>45093</v>
      </c>
      <c r="C50" s="7">
        <v>2194</v>
      </c>
      <c r="D50" s="71">
        <f t="shared" si="0"/>
        <v>2406.4285714285716</v>
      </c>
      <c r="E50" s="76">
        <f t="shared" si="1"/>
        <v>-212.42857142857156</v>
      </c>
      <c r="I50" s="75"/>
      <c r="J50" s="43"/>
    </row>
    <row r="51" spans="2:10" ht="15.6" x14ac:dyDescent="0.3">
      <c r="B51" s="6">
        <v>45094</v>
      </c>
      <c r="C51" s="7">
        <v>1780</v>
      </c>
      <c r="D51" s="71">
        <f t="shared" si="0"/>
        <v>2441.2857142857142</v>
      </c>
      <c r="E51" s="76">
        <f t="shared" si="1"/>
        <v>-661.28571428571422</v>
      </c>
      <c r="I51" s="75"/>
      <c r="J51" s="43"/>
    </row>
    <row r="52" spans="2:10" ht="15.6" x14ac:dyDescent="0.3">
      <c r="B52" s="6">
        <v>45095</v>
      </c>
      <c r="C52" s="7">
        <v>1408</v>
      </c>
      <c r="D52" s="71">
        <f t="shared" si="0"/>
        <v>2454.5714285714284</v>
      </c>
      <c r="E52" s="76">
        <f t="shared" si="1"/>
        <v>-1046.5714285714284</v>
      </c>
      <c r="I52" s="75"/>
      <c r="J52" s="43"/>
    </row>
    <row r="53" spans="2:10" ht="15.6" x14ac:dyDescent="0.3">
      <c r="B53" s="6">
        <v>45096</v>
      </c>
      <c r="C53" s="7">
        <v>2920</v>
      </c>
      <c r="D53" s="71">
        <f t="shared" si="0"/>
        <v>2329.5714285714284</v>
      </c>
      <c r="E53" s="76">
        <f t="shared" si="1"/>
        <v>590.42857142857156</v>
      </c>
      <c r="I53" s="75"/>
      <c r="J53" s="43"/>
    </row>
    <row r="54" spans="2:10" ht="15.6" x14ac:dyDescent="0.3">
      <c r="B54" s="6">
        <v>45097</v>
      </c>
      <c r="C54" s="7">
        <v>2647</v>
      </c>
      <c r="D54" s="71">
        <f t="shared" si="0"/>
        <v>2437.5714285714284</v>
      </c>
      <c r="E54" s="76">
        <f t="shared" si="1"/>
        <v>209.42857142857156</v>
      </c>
      <c r="I54" s="75"/>
      <c r="J54" s="43"/>
    </row>
    <row r="55" spans="2:10" ht="15.6" x14ac:dyDescent="0.3">
      <c r="B55" s="6">
        <v>45098</v>
      </c>
      <c r="C55" s="7">
        <v>3020</v>
      </c>
      <c r="D55" s="71">
        <f t="shared" si="0"/>
        <v>2412</v>
      </c>
      <c r="E55" s="76">
        <f t="shared" si="1"/>
        <v>608</v>
      </c>
      <c r="I55" s="75"/>
      <c r="J55" s="43"/>
    </row>
    <row r="56" spans="2:10" ht="15.6" x14ac:dyDescent="0.3">
      <c r="B56" s="6">
        <v>45099</v>
      </c>
      <c r="C56" s="7">
        <v>2338</v>
      </c>
      <c r="D56" s="71">
        <f t="shared" si="0"/>
        <v>2441.5714285714284</v>
      </c>
      <c r="E56" s="76">
        <f t="shared" si="1"/>
        <v>-103.57142857142844</v>
      </c>
      <c r="I56" s="75"/>
      <c r="J56" s="43"/>
    </row>
    <row r="57" spans="2:10" ht="15.6" x14ac:dyDescent="0.3">
      <c r="B57" s="6">
        <v>45100</v>
      </c>
      <c r="C57" s="7">
        <v>2950</v>
      </c>
      <c r="D57" s="71"/>
      <c r="E57" s="76"/>
      <c r="I57" s="75"/>
      <c r="J57" s="43"/>
    </row>
    <row r="58" spans="2:10" ht="15.6" x14ac:dyDescent="0.3">
      <c r="B58" s="6">
        <v>45101</v>
      </c>
      <c r="C58" s="7">
        <v>1601</v>
      </c>
      <c r="D58" s="71"/>
      <c r="E58" s="76"/>
      <c r="I58" s="75"/>
      <c r="J58" s="43"/>
    </row>
    <row r="59" spans="2:10" ht="15.6" x14ac:dyDescent="0.3">
      <c r="B59" s="6">
        <v>45102</v>
      </c>
      <c r="C59" s="7">
        <v>1615</v>
      </c>
      <c r="D59" s="71"/>
      <c r="E59" s="76"/>
      <c r="I59" s="75"/>
      <c r="J59" s="43"/>
    </row>
    <row r="60" spans="2:10" x14ac:dyDescent="0.3">
      <c r="I60" s="43"/>
      <c r="J60" s="4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7BA8-9120-4231-AEF8-1DDD17C4AA05}">
  <dimension ref="B2:R58"/>
  <sheetViews>
    <sheetView workbookViewId="0">
      <selection activeCell="F8" sqref="F8"/>
    </sheetView>
  </sheetViews>
  <sheetFormatPr defaultRowHeight="14.4" x14ac:dyDescent="0.3"/>
  <cols>
    <col min="3" max="3" width="15.5546875" customWidth="1"/>
    <col min="4" max="4" width="10.88671875" customWidth="1"/>
    <col min="5" max="5" width="22.6640625" customWidth="1"/>
    <col min="10" max="10" width="11.21875" customWidth="1"/>
    <col min="11" max="11" width="11.21875" bestFit="1" customWidth="1"/>
    <col min="12" max="16" width="9" bestFit="1" customWidth="1"/>
    <col min="17" max="17" width="9.21875" bestFit="1" customWidth="1"/>
  </cols>
  <sheetData>
    <row r="2" spans="2:18" ht="15.6" x14ac:dyDescent="0.3">
      <c r="B2" s="72" t="s">
        <v>1</v>
      </c>
      <c r="C2" s="73" t="s">
        <v>2</v>
      </c>
      <c r="D2" s="80" t="s">
        <v>7</v>
      </c>
      <c r="E2" s="80" t="s">
        <v>8</v>
      </c>
      <c r="F2" s="80" t="s">
        <v>9</v>
      </c>
      <c r="G2" s="80" t="s">
        <v>10</v>
      </c>
    </row>
    <row r="3" spans="2:18" ht="15.6" x14ac:dyDescent="0.3">
      <c r="B3" s="6">
        <v>45047</v>
      </c>
      <c r="C3" s="7">
        <v>1576</v>
      </c>
      <c r="D3" s="14"/>
      <c r="E3" s="14"/>
      <c r="F3" s="14"/>
      <c r="G3" s="14"/>
    </row>
    <row r="4" spans="2:18" ht="15.6" x14ac:dyDescent="0.3">
      <c r="B4" s="6">
        <v>45048</v>
      </c>
      <c r="C4" s="7">
        <v>2299</v>
      </c>
      <c r="D4" s="14"/>
      <c r="E4" s="14"/>
      <c r="F4" s="14"/>
      <c r="G4" s="14"/>
    </row>
    <row r="5" spans="2:18" ht="15.6" x14ac:dyDescent="0.3">
      <c r="B5" s="6">
        <v>45049</v>
      </c>
      <c r="C5" s="7">
        <v>1878</v>
      </c>
      <c r="D5" s="14"/>
      <c r="E5" s="14"/>
      <c r="F5" s="14"/>
      <c r="G5" s="14"/>
      <c r="J5" s="41" t="s">
        <v>11</v>
      </c>
      <c r="K5" s="41" t="s">
        <v>12</v>
      </c>
      <c r="L5" s="41" t="s">
        <v>13</v>
      </c>
      <c r="M5" s="41" t="s">
        <v>14</v>
      </c>
      <c r="N5" s="41" t="s">
        <v>15</v>
      </c>
      <c r="O5" s="41" t="s">
        <v>16</v>
      </c>
      <c r="P5" s="41" t="s">
        <v>17</v>
      </c>
      <c r="Q5" s="41" t="s">
        <v>18</v>
      </c>
      <c r="R5" s="41" t="s">
        <v>19</v>
      </c>
    </row>
    <row r="6" spans="2:18" ht="15.6" x14ac:dyDescent="0.3">
      <c r="B6" s="6">
        <v>45050</v>
      </c>
      <c r="C6" s="7">
        <v>1628</v>
      </c>
      <c r="D6" s="17" cm="1">
        <f t="array" ref="D6:E55">'2.2 Removing Trend'!D7:E56</f>
        <v>1577.1428571428571</v>
      </c>
      <c r="E6" s="17">
        <v>50.85714285714289</v>
      </c>
      <c r="F6" s="18">
        <v>1</v>
      </c>
      <c r="G6" s="79" t="str">
        <f>TEXT(B6,"ddd")</f>
        <v>Thu</v>
      </c>
      <c r="J6" s="78">
        <v>45061</v>
      </c>
      <c r="K6" s="14"/>
      <c r="L6" s="17">
        <f>E10</f>
        <v>207.57142857142867</v>
      </c>
      <c r="M6" s="17">
        <f>E17</f>
        <v>328.71428571428578</v>
      </c>
      <c r="N6" s="17">
        <f t="shared" ref="N6:N12" si="0">E24</f>
        <v>334.85714285714289</v>
      </c>
      <c r="O6" s="17">
        <f>E31</f>
        <v>162</v>
      </c>
      <c r="P6" s="17">
        <f>E38</f>
        <v>754.85714285714266</v>
      </c>
      <c r="Q6" s="17">
        <f>E45</f>
        <v>630.42857142857156</v>
      </c>
      <c r="R6" s="17">
        <f>E52</f>
        <v>590.42857142857156</v>
      </c>
    </row>
    <row r="7" spans="2:18" ht="15.6" x14ac:dyDescent="0.3">
      <c r="B7" s="6">
        <v>45051</v>
      </c>
      <c r="C7" s="7">
        <v>1555</v>
      </c>
      <c r="D7" s="17">
        <v>1620.8571428571429</v>
      </c>
      <c r="E7" s="17">
        <v>-65.85714285714289</v>
      </c>
      <c r="F7" s="18">
        <v>1</v>
      </c>
      <c r="G7" s="79" t="str">
        <f t="shared" ref="G7:G58" si="1">TEXT(B7,"ddd")</f>
        <v>Fri</v>
      </c>
      <c r="J7" s="78">
        <v>45062</v>
      </c>
      <c r="K7" s="14"/>
      <c r="L7" s="17">
        <f t="shared" ref="L7:L12" si="2">E11</f>
        <v>658.71428571428578</v>
      </c>
      <c r="M7" s="17">
        <f t="shared" ref="M7:M12" si="3">E18</f>
        <v>181.71428571428578</v>
      </c>
      <c r="N7" s="17">
        <f t="shared" si="0"/>
        <v>143.57142857142867</v>
      </c>
      <c r="O7" s="17">
        <f t="shared" ref="O7:O12" si="4">E32</f>
        <v>180.71428571428578</v>
      </c>
      <c r="P7" s="17">
        <f t="shared" ref="P7:P12" si="5">E39</f>
        <v>530.71428571428578</v>
      </c>
      <c r="Q7" s="17">
        <f t="shared" ref="Q7:Q12" si="6">E46</f>
        <v>-49.285714285714221</v>
      </c>
      <c r="R7" s="17">
        <f>E53</f>
        <v>209.42857142857156</v>
      </c>
    </row>
    <row r="8" spans="2:18" ht="15.6" x14ac:dyDescent="0.3">
      <c r="B8" s="6">
        <v>45052</v>
      </c>
      <c r="C8" s="7">
        <v>1240</v>
      </c>
      <c r="D8" s="17">
        <v>1621.8571428571429</v>
      </c>
      <c r="E8" s="17">
        <v>-381.85714285714289</v>
      </c>
      <c r="F8" s="18">
        <v>1</v>
      </c>
      <c r="G8" s="79" t="str">
        <f t="shared" si="1"/>
        <v>Sat</v>
      </c>
      <c r="J8" s="78">
        <v>45063</v>
      </c>
      <c r="K8" s="14"/>
      <c r="L8" s="17">
        <f t="shared" si="2"/>
        <v>375.28571428571422</v>
      </c>
      <c r="M8" s="17">
        <f t="shared" si="3"/>
        <v>324.28571428571422</v>
      </c>
      <c r="N8" s="17">
        <f t="shared" si="0"/>
        <v>402</v>
      </c>
      <c r="O8" s="17">
        <f t="shared" si="4"/>
        <v>339.85714285714289</v>
      </c>
      <c r="P8" s="17">
        <f t="shared" si="5"/>
        <v>720.14285714285734</v>
      </c>
      <c r="Q8" s="17">
        <f t="shared" si="6"/>
        <v>440.42857142857156</v>
      </c>
      <c r="R8" s="17">
        <f>E54</f>
        <v>608</v>
      </c>
    </row>
    <row r="9" spans="2:18" ht="15.6" x14ac:dyDescent="0.3">
      <c r="B9" s="6">
        <v>45053</v>
      </c>
      <c r="C9" s="7">
        <v>864</v>
      </c>
      <c r="D9" s="17">
        <v>1637.5714285714287</v>
      </c>
      <c r="E9" s="17">
        <v>-773.57142857142867</v>
      </c>
      <c r="F9" s="18">
        <v>1</v>
      </c>
      <c r="G9" s="79" t="str">
        <f t="shared" si="1"/>
        <v>Sun</v>
      </c>
      <c r="J9" s="78">
        <v>45064</v>
      </c>
      <c r="K9" s="17">
        <f>E6</f>
        <v>50.85714285714289</v>
      </c>
      <c r="L9" s="17">
        <f t="shared" si="2"/>
        <v>246.42857142857133</v>
      </c>
      <c r="M9" s="17">
        <f t="shared" si="3"/>
        <v>445</v>
      </c>
      <c r="N9" s="17">
        <f t="shared" si="0"/>
        <v>144</v>
      </c>
      <c r="O9" s="17">
        <f t="shared" si="4"/>
        <v>235.42857142857133</v>
      </c>
      <c r="P9" s="17">
        <f t="shared" si="5"/>
        <v>281.85714285714266</v>
      </c>
      <c r="Q9" s="17">
        <f t="shared" si="6"/>
        <v>780.57142857142844</v>
      </c>
      <c r="R9" s="17">
        <f>E55</f>
        <v>-103.57142857142844</v>
      </c>
    </row>
    <row r="10" spans="2:18" ht="15.6" x14ac:dyDescent="0.3">
      <c r="B10" s="6">
        <v>45054</v>
      </c>
      <c r="C10" s="7">
        <v>1882</v>
      </c>
      <c r="D10" s="17">
        <v>1674.4285714285713</v>
      </c>
      <c r="E10" s="17">
        <v>207.57142857142867</v>
      </c>
      <c r="F10" s="18">
        <v>2</v>
      </c>
      <c r="G10" s="79" t="str">
        <f t="shared" si="1"/>
        <v>Mon</v>
      </c>
      <c r="J10" s="78">
        <v>45065</v>
      </c>
      <c r="K10" s="17">
        <f>E7</f>
        <v>-65.85714285714289</v>
      </c>
      <c r="L10" s="17">
        <f t="shared" si="2"/>
        <v>-277.85714285714289</v>
      </c>
      <c r="M10" s="17">
        <f t="shared" si="3"/>
        <v>-165.28571428571422</v>
      </c>
      <c r="N10" s="17">
        <f t="shared" si="0"/>
        <v>131.57142857142867</v>
      </c>
      <c r="O10" s="17">
        <f t="shared" si="4"/>
        <v>-135.42857142857133</v>
      </c>
      <c r="P10" s="17">
        <f t="shared" si="5"/>
        <v>-152.57142857142844</v>
      </c>
      <c r="Q10" s="17">
        <f t="shared" si="6"/>
        <v>-212.42857142857156</v>
      </c>
      <c r="R10" s="17"/>
    </row>
    <row r="11" spans="2:18" ht="15.6" x14ac:dyDescent="0.3">
      <c r="B11" s="6">
        <v>45055</v>
      </c>
      <c r="C11" s="7">
        <v>2306</v>
      </c>
      <c r="D11" s="17">
        <v>1647.2857142857142</v>
      </c>
      <c r="E11" s="17">
        <v>658.71428571428578</v>
      </c>
      <c r="F11" s="18">
        <v>2</v>
      </c>
      <c r="G11" s="79" t="str">
        <f t="shared" si="1"/>
        <v>Tue</v>
      </c>
      <c r="J11" s="78">
        <v>45066</v>
      </c>
      <c r="K11" s="17">
        <f>E8</f>
        <v>-381.85714285714289</v>
      </c>
      <c r="L11" s="17">
        <f t="shared" si="2"/>
        <v>-567.85714285714289</v>
      </c>
      <c r="M11" s="17">
        <f t="shared" si="3"/>
        <v>-587.14285714285711</v>
      </c>
      <c r="N11" s="17">
        <f t="shared" si="0"/>
        <v>-410.42857142857133</v>
      </c>
      <c r="O11" s="17">
        <f t="shared" si="4"/>
        <v>-907.28571428571422</v>
      </c>
      <c r="P11" s="17">
        <f t="shared" si="5"/>
        <v>-884.71428571428578</v>
      </c>
      <c r="Q11" s="17">
        <f t="shared" si="6"/>
        <v>-661.28571428571422</v>
      </c>
      <c r="R11" s="14"/>
    </row>
    <row r="12" spans="2:18" ht="15.6" x14ac:dyDescent="0.3">
      <c r="B12" s="6">
        <v>45056</v>
      </c>
      <c r="C12" s="7">
        <v>1988</v>
      </c>
      <c r="D12" s="17">
        <v>1612.7142857142858</v>
      </c>
      <c r="E12" s="17">
        <v>375.28571428571422</v>
      </c>
      <c r="F12" s="18">
        <v>2</v>
      </c>
      <c r="G12" s="79" t="str">
        <f t="shared" si="1"/>
        <v>Wed</v>
      </c>
      <c r="J12" s="78">
        <v>45067</v>
      </c>
      <c r="K12" s="17">
        <f>E9</f>
        <v>-773.57142857142867</v>
      </c>
      <c r="L12" s="17">
        <f t="shared" si="2"/>
        <v>-502.85714285714289</v>
      </c>
      <c r="M12" s="17">
        <f t="shared" si="3"/>
        <v>-536</v>
      </c>
      <c r="N12" s="17">
        <f t="shared" si="0"/>
        <v>-537.71428571428578</v>
      </c>
      <c r="O12" s="17">
        <f t="shared" si="4"/>
        <v>-940.42857142857133</v>
      </c>
      <c r="P12" s="17">
        <f t="shared" si="5"/>
        <v>-616.57142857142844</v>
      </c>
      <c r="Q12" s="17">
        <f t="shared" si="6"/>
        <v>-1046.5714285714284</v>
      </c>
      <c r="R12" s="14"/>
    </row>
    <row r="13" spans="2:18" ht="15.6" x14ac:dyDescent="0.3">
      <c r="B13" s="6">
        <v>45057</v>
      </c>
      <c r="C13" s="7">
        <v>1886</v>
      </c>
      <c r="D13" s="17">
        <v>1639.5714285714287</v>
      </c>
      <c r="E13" s="17">
        <v>246.42857142857133</v>
      </c>
      <c r="F13" s="18">
        <v>2</v>
      </c>
      <c r="G13" s="79" t="str">
        <f t="shared" si="1"/>
        <v>Thu</v>
      </c>
    </row>
    <row r="14" spans="2:18" ht="15.6" x14ac:dyDescent="0.3">
      <c r="B14" s="6">
        <v>45058</v>
      </c>
      <c r="C14" s="7">
        <v>1365</v>
      </c>
      <c r="D14" s="17">
        <v>1642.8571428571429</v>
      </c>
      <c r="E14" s="17">
        <v>-277.85714285714289</v>
      </c>
      <c r="F14" s="18">
        <v>2</v>
      </c>
      <c r="G14" s="79" t="str">
        <f t="shared" si="1"/>
        <v>Fri</v>
      </c>
    </row>
    <row r="15" spans="2:18" ht="15.6" x14ac:dyDescent="0.3">
      <c r="B15" s="6">
        <v>45059</v>
      </c>
      <c r="C15" s="7">
        <v>998</v>
      </c>
      <c r="D15" s="17">
        <v>1565.8571428571429</v>
      </c>
      <c r="E15" s="17">
        <v>-567.85714285714289</v>
      </c>
      <c r="F15" s="18">
        <v>2</v>
      </c>
      <c r="G15" s="79" t="str">
        <f t="shared" si="1"/>
        <v>Sat</v>
      </c>
    </row>
    <row r="16" spans="2:18" ht="15.6" x14ac:dyDescent="0.3">
      <c r="B16" s="6">
        <v>45060</v>
      </c>
      <c r="C16" s="7">
        <v>1052</v>
      </c>
      <c r="D16" s="17">
        <v>1554.8571428571429</v>
      </c>
      <c r="E16" s="17">
        <v>-502.85714285714289</v>
      </c>
      <c r="F16" s="18">
        <v>2</v>
      </c>
      <c r="G16" s="79" t="str">
        <f t="shared" si="1"/>
        <v>Sun</v>
      </c>
    </row>
    <row r="17" spans="2:7" ht="15.6" x14ac:dyDescent="0.3">
      <c r="B17" s="6">
        <v>45061</v>
      </c>
      <c r="C17" s="7">
        <v>1905</v>
      </c>
      <c r="D17" s="17">
        <v>1576.2857142857142</v>
      </c>
      <c r="E17" s="17">
        <v>328.71428571428578</v>
      </c>
      <c r="F17" s="18">
        <v>3</v>
      </c>
      <c r="G17" s="79" t="str">
        <f t="shared" si="1"/>
        <v>Mon</v>
      </c>
    </row>
    <row r="18" spans="2:7" ht="15.6" x14ac:dyDescent="0.3">
      <c r="B18" s="6">
        <v>45062</v>
      </c>
      <c r="C18" s="7">
        <v>1767</v>
      </c>
      <c r="D18" s="17">
        <v>1585.2857142857142</v>
      </c>
      <c r="E18" s="17">
        <v>181.71428571428578</v>
      </c>
      <c r="F18" s="18">
        <v>3</v>
      </c>
      <c r="G18" s="79" t="str">
        <f t="shared" si="1"/>
        <v>Tue</v>
      </c>
    </row>
    <row r="19" spans="2:7" ht="15.6" x14ac:dyDescent="0.3">
      <c r="B19" s="6">
        <v>45063</v>
      </c>
      <c r="C19" s="7">
        <v>1911</v>
      </c>
      <c r="D19" s="17">
        <v>1586.7142857142858</v>
      </c>
      <c r="E19" s="17">
        <v>324.28571428571422</v>
      </c>
      <c r="F19" s="18">
        <v>3</v>
      </c>
      <c r="G19" s="79" t="str">
        <f t="shared" si="1"/>
        <v>Wed</v>
      </c>
    </row>
    <row r="20" spans="2:7" ht="15.6" x14ac:dyDescent="0.3">
      <c r="B20" s="6">
        <v>45064</v>
      </c>
      <c r="C20" s="7">
        <v>2036</v>
      </c>
      <c r="D20" s="17">
        <v>1591</v>
      </c>
      <c r="E20" s="17">
        <v>445</v>
      </c>
      <c r="F20" s="18">
        <v>3</v>
      </c>
      <c r="G20" s="79" t="str">
        <f t="shared" si="1"/>
        <v>Thu</v>
      </c>
    </row>
    <row r="21" spans="2:7" ht="15.6" x14ac:dyDescent="0.3">
      <c r="B21" s="6">
        <v>45065</v>
      </c>
      <c r="C21" s="7">
        <v>1428</v>
      </c>
      <c r="D21" s="17">
        <v>1593.2857142857142</v>
      </c>
      <c r="E21" s="17">
        <v>-165.28571428571422</v>
      </c>
      <c r="F21" s="18">
        <v>3</v>
      </c>
      <c r="G21" s="79" t="str">
        <f t="shared" si="1"/>
        <v>Fri</v>
      </c>
    </row>
    <row r="22" spans="2:7" ht="15.6" x14ac:dyDescent="0.3">
      <c r="B22" s="6">
        <v>45066</v>
      </c>
      <c r="C22" s="7">
        <v>1008</v>
      </c>
      <c r="D22" s="17">
        <v>1595.1428571428571</v>
      </c>
      <c r="E22" s="17">
        <v>-587.14285714285711</v>
      </c>
      <c r="F22" s="18">
        <v>3</v>
      </c>
      <c r="G22" s="79" t="str">
        <f t="shared" si="1"/>
        <v>Sat</v>
      </c>
    </row>
    <row r="23" spans="2:7" ht="15.6" x14ac:dyDescent="0.3">
      <c r="B23" s="6">
        <v>45067</v>
      </c>
      <c r="C23" s="7">
        <v>1082</v>
      </c>
      <c r="D23" s="17">
        <v>1618</v>
      </c>
      <c r="E23" s="17">
        <v>-536</v>
      </c>
      <c r="F23" s="18">
        <v>3</v>
      </c>
      <c r="G23" s="79" t="str">
        <f t="shared" si="1"/>
        <v>Sun</v>
      </c>
    </row>
    <row r="24" spans="2:7" ht="15.6" x14ac:dyDescent="0.3">
      <c r="B24" s="6">
        <v>45068</v>
      </c>
      <c r="C24" s="7">
        <v>1921</v>
      </c>
      <c r="D24" s="17">
        <v>1586.1428571428571</v>
      </c>
      <c r="E24" s="17">
        <v>334.85714285714289</v>
      </c>
      <c r="F24" s="18">
        <v>4</v>
      </c>
      <c r="G24" s="79" t="str">
        <f t="shared" si="1"/>
        <v>Mon</v>
      </c>
    </row>
    <row r="25" spans="2:7" ht="15.6" x14ac:dyDescent="0.3">
      <c r="B25" s="6">
        <v>45069</v>
      </c>
      <c r="C25" s="7">
        <v>1780</v>
      </c>
      <c r="D25" s="17">
        <v>1636.4285714285713</v>
      </c>
      <c r="E25" s="17">
        <v>143.57142857142867</v>
      </c>
      <c r="F25" s="18">
        <v>4</v>
      </c>
      <c r="G25" s="79" t="str">
        <f t="shared" si="1"/>
        <v>Tue</v>
      </c>
    </row>
    <row r="26" spans="2:7" ht="15.6" x14ac:dyDescent="0.3">
      <c r="B26" s="6">
        <v>45070</v>
      </c>
      <c r="C26" s="7">
        <v>2071</v>
      </c>
      <c r="D26" s="17">
        <v>1669</v>
      </c>
      <c r="E26" s="17">
        <v>402</v>
      </c>
      <c r="F26" s="18">
        <v>4</v>
      </c>
      <c r="G26" s="79" t="str">
        <f t="shared" si="1"/>
        <v>Wed</v>
      </c>
    </row>
    <row r="27" spans="2:7" ht="15.6" x14ac:dyDescent="0.3">
      <c r="B27" s="6">
        <v>45071</v>
      </c>
      <c r="C27" s="7">
        <v>1813</v>
      </c>
      <c r="D27" s="17">
        <v>1669</v>
      </c>
      <c r="E27" s="17">
        <v>144</v>
      </c>
      <c r="F27" s="18">
        <v>4</v>
      </c>
      <c r="G27" s="79" t="str">
        <f t="shared" si="1"/>
        <v>Thu</v>
      </c>
    </row>
    <row r="28" spans="2:7" ht="15.6" x14ac:dyDescent="0.3">
      <c r="B28" s="6">
        <v>45072</v>
      </c>
      <c r="C28" s="7">
        <v>1780</v>
      </c>
      <c r="D28" s="17">
        <v>1648.4285714285713</v>
      </c>
      <c r="E28" s="17">
        <v>131.57142857142867</v>
      </c>
      <c r="F28" s="18">
        <v>4</v>
      </c>
      <c r="G28" s="79" t="str">
        <f t="shared" si="1"/>
        <v>Fri</v>
      </c>
    </row>
    <row r="29" spans="2:7" ht="15.6" x14ac:dyDescent="0.3">
      <c r="B29" s="6">
        <v>45073</v>
      </c>
      <c r="C29" s="7">
        <v>1236</v>
      </c>
      <c r="D29" s="17">
        <v>1646.4285714285713</v>
      </c>
      <c r="E29" s="17">
        <v>-410.42857142857133</v>
      </c>
      <c r="F29" s="18">
        <v>4</v>
      </c>
      <c r="G29" s="79" t="str">
        <f t="shared" si="1"/>
        <v>Sat</v>
      </c>
    </row>
    <row r="30" spans="2:7" ht="15.6" x14ac:dyDescent="0.3">
      <c r="B30" s="6">
        <v>45074</v>
      </c>
      <c r="C30" s="7">
        <v>1082</v>
      </c>
      <c r="D30" s="17">
        <v>1619.7142857142858</v>
      </c>
      <c r="E30" s="17">
        <v>-537.71428571428578</v>
      </c>
      <c r="F30" s="18">
        <v>4</v>
      </c>
      <c r="G30" s="79" t="str">
        <f t="shared" si="1"/>
        <v>Sun</v>
      </c>
    </row>
    <row r="31" spans="2:7" ht="15.6" x14ac:dyDescent="0.3">
      <c r="B31" s="6">
        <v>45075</v>
      </c>
      <c r="C31" s="7">
        <v>1777</v>
      </c>
      <c r="D31" s="17">
        <v>1615</v>
      </c>
      <c r="E31" s="17">
        <v>162</v>
      </c>
      <c r="F31" s="18">
        <v>5</v>
      </c>
      <c r="G31" s="79" t="str">
        <f t="shared" si="1"/>
        <v>Mon</v>
      </c>
    </row>
    <row r="32" spans="2:7" ht="15.6" x14ac:dyDescent="0.3">
      <c r="B32" s="6">
        <v>45076</v>
      </c>
      <c r="C32" s="7">
        <v>1766</v>
      </c>
      <c r="D32" s="17">
        <v>1585.2857142857142</v>
      </c>
      <c r="E32" s="17">
        <v>180.71428571428578</v>
      </c>
      <c r="F32" s="18">
        <v>5</v>
      </c>
      <c r="G32" s="79" t="str">
        <f t="shared" si="1"/>
        <v>Tue</v>
      </c>
    </row>
    <row r="33" spans="2:7" ht="15.6" x14ac:dyDescent="0.3">
      <c r="B33" s="6">
        <v>45077</v>
      </c>
      <c r="C33" s="7">
        <v>1884</v>
      </c>
      <c r="D33" s="17">
        <v>1544.1428571428571</v>
      </c>
      <c r="E33" s="17">
        <v>339.85714285714289</v>
      </c>
      <c r="F33" s="18">
        <v>5</v>
      </c>
      <c r="G33" s="79" t="str">
        <f t="shared" si="1"/>
        <v>Wed</v>
      </c>
    </row>
    <row r="34" spans="2:7" ht="15.6" x14ac:dyDescent="0.3">
      <c r="B34" s="6">
        <v>45078</v>
      </c>
      <c r="C34" s="7">
        <v>1780</v>
      </c>
      <c r="D34" s="17">
        <v>1544.5714285714287</v>
      </c>
      <c r="E34" s="17">
        <v>235.42857142857133</v>
      </c>
      <c r="F34" s="18">
        <v>5</v>
      </c>
      <c r="G34" s="79" t="str">
        <f t="shared" si="1"/>
        <v>Thu</v>
      </c>
    </row>
    <row r="35" spans="2:7" ht="15.6" x14ac:dyDescent="0.3">
      <c r="B35" s="6">
        <v>45079</v>
      </c>
      <c r="C35" s="7">
        <v>1572</v>
      </c>
      <c r="D35" s="17">
        <v>1707.4285714285713</v>
      </c>
      <c r="E35" s="17">
        <v>-135.42857142857133</v>
      </c>
      <c r="F35" s="18">
        <v>5</v>
      </c>
      <c r="G35" s="79" t="str">
        <f t="shared" si="1"/>
        <v>Fri</v>
      </c>
    </row>
    <row r="36" spans="2:7" ht="15.6" x14ac:dyDescent="0.3">
      <c r="B36" s="6">
        <v>45080</v>
      </c>
      <c r="C36" s="7">
        <v>948</v>
      </c>
      <c r="D36" s="17">
        <v>1855.2857142857142</v>
      </c>
      <c r="E36" s="17">
        <v>-907.28571428571422</v>
      </c>
      <c r="F36" s="18">
        <v>5</v>
      </c>
      <c r="G36" s="79" t="str">
        <f t="shared" si="1"/>
        <v>Sat</v>
      </c>
    </row>
    <row r="37" spans="2:7" ht="15.6" x14ac:dyDescent="0.3">
      <c r="B37" s="6">
        <v>45081</v>
      </c>
      <c r="C37" s="7">
        <v>1085</v>
      </c>
      <c r="D37" s="17">
        <v>2025.4285714285713</v>
      </c>
      <c r="E37" s="17">
        <v>-940.42857142857133</v>
      </c>
      <c r="F37" s="18">
        <v>5</v>
      </c>
      <c r="G37" s="79" t="str">
        <f t="shared" si="1"/>
        <v>Sun</v>
      </c>
    </row>
    <row r="38" spans="2:7" ht="15.6" x14ac:dyDescent="0.3">
      <c r="B38" s="6">
        <v>45082</v>
      </c>
      <c r="C38" s="7">
        <v>2917</v>
      </c>
      <c r="D38" s="17">
        <v>2162.1428571428573</v>
      </c>
      <c r="E38" s="17">
        <v>754.85714285714266</v>
      </c>
      <c r="F38" s="18">
        <v>6</v>
      </c>
      <c r="G38" s="79" t="str">
        <f t="shared" si="1"/>
        <v>Mon</v>
      </c>
    </row>
    <row r="39" spans="2:7" ht="15.6" x14ac:dyDescent="0.3">
      <c r="B39" s="6">
        <v>45083</v>
      </c>
      <c r="C39" s="7">
        <v>2801</v>
      </c>
      <c r="D39" s="17">
        <v>2270.2857142857142</v>
      </c>
      <c r="E39" s="17">
        <v>530.71428571428578</v>
      </c>
      <c r="F39" s="18">
        <v>6</v>
      </c>
      <c r="G39" s="79" t="str">
        <f t="shared" si="1"/>
        <v>Tue</v>
      </c>
    </row>
    <row r="40" spans="2:7" ht="15.6" x14ac:dyDescent="0.3">
      <c r="B40" s="6">
        <v>45084</v>
      </c>
      <c r="C40" s="7">
        <v>3075</v>
      </c>
      <c r="D40" s="17">
        <v>2354.8571428571427</v>
      </c>
      <c r="E40" s="17">
        <v>720.14285714285734</v>
      </c>
      <c r="F40" s="18">
        <v>6</v>
      </c>
      <c r="G40" s="79" t="str">
        <f t="shared" si="1"/>
        <v>Wed</v>
      </c>
    </row>
    <row r="41" spans="2:7" ht="15.6" x14ac:dyDescent="0.3">
      <c r="B41" s="6">
        <v>45085</v>
      </c>
      <c r="C41" s="7">
        <v>2737</v>
      </c>
      <c r="D41" s="17">
        <v>2455.1428571428573</v>
      </c>
      <c r="E41" s="17">
        <v>281.85714285714266</v>
      </c>
      <c r="F41" s="18">
        <v>6</v>
      </c>
      <c r="G41" s="79" t="str">
        <f t="shared" si="1"/>
        <v>Thu</v>
      </c>
    </row>
    <row r="42" spans="2:7" ht="15.6" x14ac:dyDescent="0.3">
      <c r="B42" s="6">
        <v>45086</v>
      </c>
      <c r="C42" s="7">
        <v>2329</v>
      </c>
      <c r="D42" s="17">
        <v>2481.5714285714284</v>
      </c>
      <c r="E42" s="17">
        <v>-152.57142857142844</v>
      </c>
      <c r="F42" s="18">
        <v>6</v>
      </c>
      <c r="G42" s="79" t="str">
        <f t="shared" si="1"/>
        <v>Fri</v>
      </c>
    </row>
    <row r="43" spans="2:7" ht="15.6" x14ac:dyDescent="0.3">
      <c r="B43" s="6">
        <v>45087</v>
      </c>
      <c r="C43" s="7">
        <v>1540</v>
      </c>
      <c r="D43" s="17">
        <v>2424.7142857142858</v>
      </c>
      <c r="E43" s="17">
        <v>-884.71428571428578</v>
      </c>
      <c r="F43" s="18">
        <v>6</v>
      </c>
      <c r="G43" s="79" t="str">
        <f t="shared" si="1"/>
        <v>Sat</v>
      </c>
    </row>
    <row r="44" spans="2:7" ht="15.6" x14ac:dyDescent="0.3">
      <c r="B44" s="6">
        <v>45088</v>
      </c>
      <c r="C44" s="7">
        <v>1787</v>
      </c>
      <c r="D44" s="17">
        <v>2403.5714285714284</v>
      </c>
      <c r="E44" s="17">
        <v>-616.57142857142844</v>
      </c>
      <c r="F44" s="18">
        <v>6</v>
      </c>
      <c r="G44" s="79" t="str">
        <f t="shared" si="1"/>
        <v>Sun</v>
      </c>
    </row>
    <row r="45" spans="2:7" ht="15.6" x14ac:dyDescent="0.3">
      <c r="B45" s="6">
        <v>45089</v>
      </c>
      <c r="C45" s="7">
        <v>3102</v>
      </c>
      <c r="D45" s="17">
        <v>2471.5714285714284</v>
      </c>
      <c r="E45" s="17">
        <v>630.42857142857156</v>
      </c>
      <c r="F45" s="18">
        <v>7</v>
      </c>
      <c r="G45" s="79" t="str">
        <f t="shared" si="1"/>
        <v>Mon</v>
      </c>
    </row>
    <row r="46" spans="2:7" ht="15.6" x14ac:dyDescent="0.3">
      <c r="B46" s="6">
        <v>45090</v>
      </c>
      <c r="C46" s="7">
        <v>2403</v>
      </c>
      <c r="D46" s="17">
        <v>2452.2857142857142</v>
      </c>
      <c r="E46" s="17">
        <v>-49.285714285714221</v>
      </c>
      <c r="F46" s="18">
        <v>7</v>
      </c>
      <c r="G46" s="79" t="str">
        <f t="shared" si="1"/>
        <v>Tue</v>
      </c>
    </row>
    <row r="47" spans="2:7" ht="15.6" x14ac:dyDescent="0.3">
      <c r="B47" s="6">
        <v>45091</v>
      </c>
      <c r="C47" s="7">
        <v>2927</v>
      </c>
      <c r="D47" s="17">
        <v>2486.5714285714284</v>
      </c>
      <c r="E47" s="17">
        <v>440.42857142857156</v>
      </c>
      <c r="F47" s="18">
        <v>7</v>
      </c>
      <c r="G47" s="79" t="str">
        <f t="shared" si="1"/>
        <v>Wed</v>
      </c>
    </row>
    <row r="48" spans="2:7" ht="15.6" x14ac:dyDescent="0.3">
      <c r="B48" s="6">
        <v>45092</v>
      </c>
      <c r="C48" s="7">
        <v>3213</v>
      </c>
      <c r="D48" s="17">
        <v>2432.4285714285716</v>
      </c>
      <c r="E48" s="17">
        <v>780.57142857142844</v>
      </c>
      <c r="F48" s="18">
        <v>7</v>
      </c>
      <c r="G48" s="79" t="str">
        <f t="shared" si="1"/>
        <v>Thu</v>
      </c>
    </row>
    <row r="49" spans="2:7" ht="15.6" x14ac:dyDescent="0.3">
      <c r="B49" s="6">
        <v>45093</v>
      </c>
      <c r="C49" s="7">
        <v>2194</v>
      </c>
      <c r="D49" s="17">
        <v>2406.4285714285716</v>
      </c>
      <c r="E49" s="17">
        <v>-212.42857142857156</v>
      </c>
      <c r="F49" s="18">
        <v>7</v>
      </c>
      <c r="G49" s="79" t="str">
        <f t="shared" si="1"/>
        <v>Fri</v>
      </c>
    </row>
    <row r="50" spans="2:7" ht="15.6" x14ac:dyDescent="0.3">
      <c r="B50" s="6">
        <v>45094</v>
      </c>
      <c r="C50" s="7">
        <v>1780</v>
      </c>
      <c r="D50" s="17">
        <v>2441.2857142857142</v>
      </c>
      <c r="E50" s="17">
        <v>-661.28571428571422</v>
      </c>
      <c r="F50" s="18">
        <v>7</v>
      </c>
      <c r="G50" s="79" t="str">
        <f t="shared" si="1"/>
        <v>Sat</v>
      </c>
    </row>
    <row r="51" spans="2:7" ht="15.6" x14ac:dyDescent="0.3">
      <c r="B51" s="6">
        <v>45095</v>
      </c>
      <c r="C51" s="7">
        <v>1408</v>
      </c>
      <c r="D51" s="17">
        <v>2454.5714285714284</v>
      </c>
      <c r="E51" s="17">
        <v>-1046.5714285714284</v>
      </c>
      <c r="F51" s="18">
        <v>7</v>
      </c>
      <c r="G51" s="79" t="str">
        <f t="shared" si="1"/>
        <v>Sun</v>
      </c>
    </row>
    <row r="52" spans="2:7" ht="15.6" x14ac:dyDescent="0.3">
      <c r="B52" s="6">
        <v>45096</v>
      </c>
      <c r="C52" s="7">
        <v>2920</v>
      </c>
      <c r="D52" s="17">
        <v>2329.5714285714284</v>
      </c>
      <c r="E52" s="17">
        <v>590.42857142857156</v>
      </c>
      <c r="F52" s="18">
        <v>8</v>
      </c>
      <c r="G52" s="79" t="str">
        <f t="shared" si="1"/>
        <v>Mon</v>
      </c>
    </row>
    <row r="53" spans="2:7" ht="15.6" x14ac:dyDescent="0.3">
      <c r="B53" s="6">
        <v>45097</v>
      </c>
      <c r="C53" s="7">
        <v>2647</v>
      </c>
      <c r="D53" s="17">
        <v>2437.5714285714284</v>
      </c>
      <c r="E53" s="17">
        <v>209.42857142857156</v>
      </c>
      <c r="F53" s="18">
        <v>8</v>
      </c>
      <c r="G53" s="79" t="str">
        <f t="shared" si="1"/>
        <v>Tue</v>
      </c>
    </row>
    <row r="54" spans="2:7" ht="15.6" x14ac:dyDescent="0.3">
      <c r="B54" s="6">
        <v>45098</v>
      </c>
      <c r="C54" s="7">
        <v>3020</v>
      </c>
      <c r="D54" s="17">
        <v>2412</v>
      </c>
      <c r="E54" s="17">
        <v>608</v>
      </c>
      <c r="F54" s="18">
        <v>8</v>
      </c>
      <c r="G54" s="79" t="str">
        <f t="shared" si="1"/>
        <v>Wed</v>
      </c>
    </row>
    <row r="55" spans="2:7" ht="15.6" x14ac:dyDescent="0.3">
      <c r="B55" s="6">
        <v>45099</v>
      </c>
      <c r="C55" s="7">
        <v>2338</v>
      </c>
      <c r="D55" s="17">
        <v>2441.5714285714284</v>
      </c>
      <c r="E55" s="17">
        <v>-103.57142857142844</v>
      </c>
      <c r="F55" s="18">
        <v>8</v>
      </c>
      <c r="G55" s="79" t="str">
        <f t="shared" si="1"/>
        <v>Thu</v>
      </c>
    </row>
    <row r="56" spans="2:7" ht="15.6" x14ac:dyDescent="0.3">
      <c r="B56" s="6">
        <v>45100</v>
      </c>
      <c r="C56" s="7">
        <v>2950</v>
      </c>
      <c r="D56" s="14"/>
      <c r="E56" s="14"/>
      <c r="F56" s="14"/>
      <c r="G56" s="79" t="str">
        <f t="shared" si="1"/>
        <v>Fri</v>
      </c>
    </row>
    <row r="57" spans="2:7" ht="15.6" x14ac:dyDescent="0.3">
      <c r="B57" s="6">
        <v>45101</v>
      </c>
      <c r="C57" s="7">
        <v>1601</v>
      </c>
      <c r="D57" s="14"/>
      <c r="E57" s="14"/>
      <c r="F57" s="14"/>
      <c r="G57" s="79" t="str">
        <f t="shared" si="1"/>
        <v>Sat</v>
      </c>
    </row>
    <row r="58" spans="2:7" ht="15.6" x14ac:dyDescent="0.3">
      <c r="B58" s="6">
        <v>45102</v>
      </c>
      <c r="C58" s="7">
        <v>1615</v>
      </c>
      <c r="D58" s="14"/>
      <c r="E58" s="14"/>
      <c r="F58" s="14"/>
      <c r="G58" s="79" t="str">
        <f t="shared" si="1"/>
        <v>Sun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66BD-776E-4368-94CF-EBA4067542DD}">
  <dimension ref="C4:S13"/>
  <sheetViews>
    <sheetView topLeftCell="B4" workbookViewId="0">
      <selection activeCell="R19" sqref="R19"/>
    </sheetView>
  </sheetViews>
  <sheetFormatPr defaultRowHeight="14.4" x14ac:dyDescent="0.3"/>
  <cols>
    <col min="3" max="3" width="13.88671875" customWidth="1"/>
    <col min="14" max="14" width="12.44140625" customWidth="1"/>
    <col min="15" max="15" width="21.77734375" customWidth="1"/>
    <col min="16" max="16" width="6.44140625" customWidth="1"/>
    <col min="17" max="17" width="11" customWidth="1"/>
    <col min="18" max="18" width="20.77734375" customWidth="1"/>
    <col min="19" max="19" width="21.44140625" customWidth="1"/>
  </cols>
  <sheetData>
    <row r="4" spans="3:19" x14ac:dyDescent="0.3">
      <c r="C4" s="41" t="s">
        <v>11</v>
      </c>
      <c r="D4" s="41" t="s">
        <v>12</v>
      </c>
      <c r="E4" s="41" t="s">
        <v>13</v>
      </c>
      <c r="F4" s="41" t="s">
        <v>14</v>
      </c>
      <c r="G4" s="41" t="s">
        <v>15</v>
      </c>
      <c r="H4" s="41" t="s">
        <v>16</v>
      </c>
      <c r="I4" s="41" t="s">
        <v>17</v>
      </c>
      <c r="J4" s="41" t="s">
        <v>18</v>
      </c>
      <c r="K4" s="41" t="s">
        <v>19</v>
      </c>
      <c r="N4" s="41" t="s">
        <v>10</v>
      </c>
      <c r="O4" s="41" t="s">
        <v>20</v>
      </c>
      <c r="Q4" s="41" t="s">
        <v>10</v>
      </c>
      <c r="R4" s="41" t="s">
        <v>20</v>
      </c>
      <c r="S4" s="41" t="s">
        <v>21</v>
      </c>
    </row>
    <row r="5" spans="3:19" x14ac:dyDescent="0.3">
      <c r="C5" s="78">
        <v>45061</v>
      </c>
      <c r="D5" s="14"/>
      <c r="E5" s="17" cm="1">
        <f t="array" ref="E5:J11">'2.3 Identify Seasonality'!L6:Q12</f>
        <v>207.57142857142867</v>
      </c>
      <c r="F5" s="14">
        <v>328.71428571428578</v>
      </c>
      <c r="G5" s="14">
        <v>334.85714285714289</v>
      </c>
      <c r="H5" s="14">
        <v>162</v>
      </c>
      <c r="I5" s="14">
        <v>754.85714285714266</v>
      </c>
      <c r="J5" s="14">
        <v>630.42857142857156</v>
      </c>
      <c r="K5" s="17" cm="1">
        <f t="array" ref="K5:K9">'2.3 Identify Seasonality'!R6:R10</f>
        <v>590.42857142857156</v>
      </c>
      <c r="N5" s="78">
        <v>45061</v>
      </c>
      <c r="O5" s="17">
        <f>AVERAGE(E5:K5)</f>
        <v>429.83673469387759</v>
      </c>
      <c r="Q5" s="78">
        <v>45061</v>
      </c>
      <c r="R5" s="17">
        <f>O5</f>
        <v>429.83673469387759</v>
      </c>
      <c r="S5" s="17">
        <f>R5-$R$13</f>
        <v>436.71865889212825</v>
      </c>
    </row>
    <row r="6" spans="3:19" x14ac:dyDescent="0.3">
      <c r="C6" s="78">
        <v>45062</v>
      </c>
      <c r="D6" s="14"/>
      <c r="E6" s="14">
        <v>658.71428571428578</v>
      </c>
      <c r="F6" s="14">
        <v>181.71428571428578</v>
      </c>
      <c r="G6" s="14">
        <v>143.57142857142867</v>
      </c>
      <c r="H6" s="14">
        <v>180.71428571428578</v>
      </c>
      <c r="I6" s="14">
        <v>530.71428571428578</v>
      </c>
      <c r="J6" s="14">
        <v>-49.285714285714221</v>
      </c>
      <c r="K6" s="14">
        <v>209.42857142857156</v>
      </c>
      <c r="N6" s="78">
        <v>45062</v>
      </c>
      <c r="O6" s="14">
        <f>AVERAGE(E6:K6)</f>
        <v>265.08163265306132</v>
      </c>
      <c r="Q6" s="78">
        <v>45062</v>
      </c>
      <c r="R6" s="17">
        <f t="shared" ref="R6:R11" si="0">O6</f>
        <v>265.08163265306132</v>
      </c>
      <c r="S6" s="17">
        <f t="shared" ref="S6:S11" si="1">R6-$R$13</f>
        <v>271.96355685131198</v>
      </c>
    </row>
    <row r="7" spans="3:19" x14ac:dyDescent="0.3">
      <c r="C7" s="78">
        <v>45063</v>
      </c>
      <c r="D7" s="14"/>
      <c r="E7" s="14">
        <v>375.28571428571422</v>
      </c>
      <c r="F7" s="14">
        <v>324.28571428571422</v>
      </c>
      <c r="G7" s="14">
        <v>402</v>
      </c>
      <c r="H7" s="14">
        <v>339.85714285714289</v>
      </c>
      <c r="I7" s="14">
        <v>720.14285714285734</v>
      </c>
      <c r="J7" s="14">
        <v>440.42857142857156</v>
      </c>
      <c r="K7" s="14">
        <v>608</v>
      </c>
      <c r="N7" s="78">
        <v>45063</v>
      </c>
      <c r="O7" s="14">
        <f>AVERAGE(E7:K7)</f>
        <v>458.57142857142856</v>
      </c>
      <c r="Q7" s="78">
        <v>45063</v>
      </c>
      <c r="R7" s="17">
        <f t="shared" si="0"/>
        <v>458.57142857142856</v>
      </c>
      <c r="S7" s="17">
        <f t="shared" si="1"/>
        <v>465.45335276967921</v>
      </c>
    </row>
    <row r="8" spans="3:19" x14ac:dyDescent="0.3">
      <c r="C8" s="78">
        <v>45064</v>
      </c>
      <c r="D8" s="17" cm="1">
        <f t="array" ref="D8:D11">'2.3 Identify Seasonality'!K9:K12</f>
        <v>50.85714285714289</v>
      </c>
      <c r="E8" s="14">
        <v>246.42857142857133</v>
      </c>
      <c r="F8" s="14">
        <v>445</v>
      </c>
      <c r="G8" s="14">
        <v>144</v>
      </c>
      <c r="H8" s="14">
        <v>235.42857142857133</v>
      </c>
      <c r="I8" s="14">
        <v>281.85714285714266</v>
      </c>
      <c r="J8" s="14">
        <v>780.57142857142844</v>
      </c>
      <c r="K8" s="14">
        <v>-103.57142857142844</v>
      </c>
      <c r="N8" s="78">
        <v>45064</v>
      </c>
      <c r="O8" s="17">
        <f>AVERAGE(D8:K8)</f>
        <v>260.07142857142856</v>
      </c>
      <c r="Q8" s="78">
        <v>45064</v>
      </c>
      <c r="R8" s="17">
        <f t="shared" si="0"/>
        <v>260.07142857142856</v>
      </c>
      <c r="S8" s="17">
        <f t="shared" si="1"/>
        <v>266.95335276967921</v>
      </c>
    </row>
    <row r="9" spans="3:19" x14ac:dyDescent="0.3">
      <c r="C9" s="78">
        <v>45065</v>
      </c>
      <c r="D9" s="14">
        <v>-65.85714285714289</v>
      </c>
      <c r="E9" s="14">
        <v>-277.85714285714289</v>
      </c>
      <c r="F9" s="14">
        <v>-165.28571428571422</v>
      </c>
      <c r="G9" s="14">
        <v>131.57142857142867</v>
      </c>
      <c r="H9" s="14">
        <v>-135.42857142857133</v>
      </c>
      <c r="I9" s="14">
        <v>-152.57142857142844</v>
      </c>
      <c r="J9" s="14">
        <v>-212.42857142857156</v>
      </c>
      <c r="K9" s="14">
        <v>0</v>
      </c>
      <c r="N9" s="78">
        <v>45065</v>
      </c>
      <c r="O9" s="17">
        <f>AVERAGE(D9:J9)</f>
        <v>-125.4081632653061</v>
      </c>
      <c r="Q9" s="78">
        <v>45065</v>
      </c>
      <c r="R9" s="17">
        <f t="shared" si="0"/>
        <v>-125.4081632653061</v>
      </c>
      <c r="S9" s="17">
        <f t="shared" si="1"/>
        <v>-118.52623906705543</v>
      </c>
    </row>
    <row r="10" spans="3:19" x14ac:dyDescent="0.3">
      <c r="C10" s="78">
        <v>45066</v>
      </c>
      <c r="D10" s="14">
        <v>-381.85714285714289</v>
      </c>
      <c r="E10" s="14">
        <v>-567.85714285714289</v>
      </c>
      <c r="F10" s="14">
        <v>-587.14285714285711</v>
      </c>
      <c r="G10" s="14">
        <v>-410.42857142857133</v>
      </c>
      <c r="H10" s="14">
        <v>-907.28571428571422</v>
      </c>
      <c r="I10" s="14">
        <v>-884.71428571428578</v>
      </c>
      <c r="J10" s="14">
        <v>-661.28571428571422</v>
      </c>
      <c r="K10" s="14"/>
      <c r="N10" s="78">
        <v>45066</v>
      </c>
      <c r="O10" s="14">
        <f>AVERAGE(D10:J10)</f>
        <v>-628.65306122448976</v>
      </c>
      <c r="Q10" s="78">
        <v>45066</v>
      </c>
      <c r="R10" s="17">
        <f t="shared" si="0"/>
        <v>-628.65306122448976</v>
      </c>
      <c r="S10" s="17">
        <f t="shared" si="1"/>
        <v>-621.7711370262391</v>
      </c>
    </row>
    <row r="11" spans="3:19" x14ac:dyDescent="0.3">
      <c r="C11" s="78">
        <v>45067</v>
      </c>
      <c r="D11" s="14">
        <v>-773.57142857142867</v>
      </c>
      <c r="E11" s="14">
        <v>-502.85714285714289</v>
      </c>
      <c r="F11" s="14">
        <v>-536</v>
      </c>
      <c r="G11" s="14">
        <v>-537.71428571428578</v>
      </c>
      <c r="H11" s="14">
        <v>-940.42857142857133</v>
      </c>
      <c r="I11" s="14">
        <v>-616.57142857142844</v>
      </c>
      <c r="J11" s="14">
        <v>-1046.5714285714284</v>
      </c>
      <c r="K11" s="14"/>
      <c r="N11" s="78">
        <v>45067</v>
      </c>
      <c r="O11" s="17">
        <f>AVERAGE(D11:J11)</f>
        <v>-707.67346938775506</v>
      </c>
      <c r="Q11" s="78">
        <v>45067</v>
      </c>
      <c r="R11" s="17">
        <f t="shared" si="0"/>
        <v>-707.67346938775506</v>
      </c>
      <c r="S11" s="17">
        <f t="shared" si="1"/>
        <v>-700.7915451895044</v>
      </c>
    </row>
    <row r="12" spans="3:19" x14ac:dyDescent="0.3">
      <c r="Q12" s="14"/>
      <c r="R12" s="17">
        <f>SUM(R5:R11)</f>
        <v>-48.173469387754722</v>
      </c>
      <c r="S12" s="17">
        <f ca="1">SUM(S5:S12)</f>
        <v>0</v>
      </c>
    </row>
    <row r="13" spans="3:19" x14ac:dyDescent="0.3">
      <c r="Q13" s="14"/>
      <c r="R13" s="17">
        <f>R12/7</f>
        <v>-6.8819241982506743</v>
      </c>
      <c r="S13" s="1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666A-4785-409F-828E-1CABF78842C1}">
  <dimension ref="B3:G59"/>
  <sheetViews>
    <sheetView workbookViewId="0">
      <selection activeCell="E14" sqref="E14"/>
    </sheetView>
  </sheetViews>
  <sheetFormatPr defaultRowHeight="14.4" x14ac:dyDescent="0.3"/>
  <cols>
    <col min="3" max="3" width="13" customWidth="1"/>
    <col min="5" max="5" width="22.6640625" customWidth="1"/>
    <col min="6" max="6" width="16" customWidth="1"/>
    <col min="7" max="7" width="16.109375" customWidth="1"/>
  </cols>
  <sheetData>
    <row r="3" spans="2:7" ht="15.6" x14ac:dyDescent="0.3">
      <c r="B3" s="72" t="s">
        <v>1</v>
      </c>
      <c r="C3" s="73" t="s">
        <v>2</v>
      </c>
      <c r="D3" s="41" t="s">
        <v>4</v>
      </c>
      <c r="E3" s="41" t="s">
        <v>22</v>
      </c>
      <c r="F3" s="41" t="s">
        <v>23</v>
      </c>
      <c r="G3" s="41" t="s">
        <v>24</v>
      </c>
    </row>
    <row r="4" spans="2:7" ht="15.6" x14ac:dyDescent="0.3">
      <c r="B4" s="6">
        <v>45047</v>
      </c>
      <c r="C4" s="7">
        <v>1576</v>
      </c>
      <c r="D4" s="14"/>
      <c r="E4" s="14"/>
      <c r="F4" s="14"/>
      <c r="G4" s="14"/>
    </row>
    <row r="5" spans="2:7" ht="15.6" x14ac:dyDescent="0.3">
      <c r="B5" s="6">
        <v>45048</v>
      </c>
      <c r="C5" s="7">
        <v>2299</v>
      </c>
      <c r="D5" s="14"/>
      <c r="E5" s="14"/>
      <c r="F5" s="14"/>
      <c r="G5" s="14"/>
    </row>
    <row r="6" spans="2:7" ht="15.6" x14ac:dyDescent="0.3">
      <c r="B6" s="6">
        <v>45049</v>
      </c>
      <c r="C6" s="7">
        <v>1878</v>
      </c>
      <c r="D6" s="14"/>
      <c r="E6" s="14"/>
      <c r="F6" s="14"/>
      <c r="G6" s="14"/>
    </row>
    <row r="7" spans="2:7" ht="15.6" x14ac:dyDescent="0.3">
      <c r="B7" s="6">
        <v>45050</v>
      </c>
      <c r="C7" s="7">
        <v>1628</v>
      </c>
      <c r="D7" s="17">
        <f>'2.3 Identify Seasonality'!D6</f>
        <v>1577.1428571428571</v>
      </c>
      <c r="E7" s="17">
        <f>'2.4 Estimated Seasonal Pattern'!O8</f>
        <v>260.07142857142856</v>
      </c>
      <c r="F7" s="17">
        <f>D7+E7</f>
        <v>1837.2142857142858</v>
      </c>
      <c r="G7" s="81">
        <f>C7-F7</f>
        <v>-209.21428571428578</v>
      </c>
    </row>
    <row r="8" spans="2:7" ht="15.6" x14ac:dyDescent="0.3">
      <c r="B8" s="6">
        <v>45051</v>
      </c>
      <c r="C8" s="7">
        <v>1555</v>
      </c>
      <c r="D8" s="17">
        <f>'2.3 Identify Seasonality'!D7</f>
        <v>1620.8571428571429</v>
      </c>
      <c r="E8" s="17">
        <f>'2.4 Estimated Seasonal Pattern'!O9</f>
        <v>-125.4081632653061</v>
      </c>
      <c r="F8" s="17">
        <f t="shared" ref="F8:F56" si="0">D8+E8</f>
        <v>1495.4489795918369</v>
      </c>
      <c r="G8" s="81">
        <f t="shared" ref="G8:G56" si="1">C8-F8</f>
        <v>59.55102040816314</v>
      </c>
    </row>
    <row r="9" spans="2:7" ht="15.6" x14ac:dyDescent="0.3">
      <c r="B9" s="6">
        <v>45052</v>
      </c>
      <c r="C9" s="7">
        <v>1240</v>
      </c>
      <c r="D9" s="17">
        <f>'2.3 Identify Seasonality'!D8</f>
        <v>1621.8571428571429</v>
      </c>
      <c r="E9" s="17">
        <f>'2.4 Estimated Seasonal Pattern'!O10</f>
        <v>-628.65306122448976</v>
      </c>
      <c r="F9" s="17">
        <f t="shared" si="0"/>
        <v>993.20408163265313</v>
      </c>
      <c r="G9" s="81">
        <f t="shared" si="1"/>
        <v>246.79591836734687</v>
      </c>
    </row>
    <row r="10" spans="2:7" ht="15.6" x14ac:dyDescent="0.3">
      <c r="B10" s="6">
        <v>45053</v>
      </c>
      <c r="C10" s="7">
        <v>864</v>
      </c>
      <c r="D10" s="17">
        <f>'2.3 Identify Seasonality'!D9</f>
        <v>1637.5714285714287</v>
      </c>
      <c r="E10" s="17">
        <f>'2.4 Estimated Seasonal Pattern'!O11</f>
        <v>-707.67346938775506</v>
      </c>
      <c r="F10" s="17">
        <f t="shared" si="0"/>
        <v>929.89795918367361</v>
      </c>
      <c r="G10" s="81">
        <f t="shared" si="1"/>
        <v>-65.897959183673606</v>
      </c>
    </row>
    <row r="11" spans="2:7" ht="15.6" x14ac:dyDescent="0.3">
      <c r="B11" s="6">
        <v>45054</v>
      </c>
      <c r="C11" s="7">
        <v>1882</v>
      </c>
      <c r="D11" s="17">
        <f>'2.3 Identify Seasonality'!D10</f>
        <v>1674.4285714285713</v>
      </c>
      <c r="E11" s="17">
        <f>'2.4 Estimated Seasonal Pattern'!R5</f>
        <v>429.83673469387759</v>
      </c>
      <c r="F11" s="17">
        <f t="shared" si="0"/>
        <v>2104.2653061224491</v>
      </c>
      <c r="G11" s="81">
        <f t="shared" si="1"/>
        <v>-222.26530612244915</v>
      </c>
    </row>
    <row r="12" spans="2:7" ht="15.6" x14ac:dyDescent="0.3">
      <c r="B12" s="6">
        <v>45055</v>
      </c>
      <c r="C12" s="7">
        <v>2306</v>
      </c>
      <c r="D12" s="17">
        <f>'2.3 Identify Seasonality'!D11</f>
        <v>1647.2857142857142</v>
      </c>
      <c r="E12" s="17">
        <f>'2.4 Estimated Seasonal Pattern'!R6</f>
        <v>265.08163265306132</v>
      </c>
      <c r="F12" s="17">
        <f t="shared" si="0"/>
        <v>1912.3673469387754</v>
      </c>
      <c r="G12" s="81">
        <f t="shared" si="1"/>
        <v>393.63265306122457</v>
      </c>
    </row>
    <row r="13" spans="2:7" ht="15.6" x14ac:dyDescent="0.3">
      <c r="B13" s="6">
        <v>45056</v>
      </c>
      <c r="C13" s="7">
        <v>1988</v>
      </c>
      <c r="D13" s="17">
        <f>'2.3 Identify Seasonality'!D12</f>
        <v>1612.7142857142858</v>
      </c>
      <c r="E13" s="17">
        <f>'2.4 Estimated Seasonal Pattern'!R7</f>
        <v>458.57142857142856</v>
      </c>
      <c r="F13" s="17">
        <f t="shared" si="0"/>
        <v>2071.2857142857142</v>
      </c>
      <c r="G13" s="81">
        <f t="shared" si="1"/>
        <v>-83.285714285714221</v>
      </c>
    </row>
    <row r="14" spans="2:7" ht="15.6" x14ac:dyDescent="0.3">
      <c r="B14" s="6">
        <v>45057</v>
      </c>
      <c r="C14" s="7">
        <v>1886</v>
      </c>
      <c r="D14" s="17">
        <f>'2.3 Identify Seasonality'!D13</f>
        <v>1639.5714285714287</v>
      </c>
      <c r="E14" s="17">
        <f>'2.4 Estimated Seasonal Pattern'!R8</f>
        <v>260.07142857142856</v>
      </c>
      <c r="F14" s="17">
        <f t="shared" si="0"/>
        <v>1899.6428571428573</v>
      </c>
      <c r="G14" s="81">
        <f t="shared" si="1"/>
        <v>-13.642857142857338</v>
      </c>
    </row>
    <row r="15" spans="2:7" ht="15.6" x14ac:dyDescent="0.3">
      <c r="B15" s="6">
        <v>45058</v>
      </c>
      <c r="C15" s="7">
        <v>1365</v>
      </c>
      <c r="D15" s="17">
        <f>'2.3 Identify Seasonality'!D14</f>
        <v>1642.8571428571429</v>
      </c>
      <c r="E15" s="17">
        <f>'2.4 Estimated Seasonal Pattern'!R9</f>
        <v>-125.4081632653061</v>
      </c>
      <c r="F15" s="17">
        <f t="shared" si="0"/>
        <v>1517.4489795918369</v>
      </c>
      <c r="G15" s="81">
        <f t="shared" si="1"/>
        <v>-152.44897959183686</v>
      </c>
    </row>
    <row r="16" spans="2:7" ht="15.6" x14ac:dyDescent="0.3">
      <c r="B16" s="6">
        <v>45059</v>
      </c>
      <c r="C16" s="7">
        <v>998</v>
      </c>
      <c r="D16" s="17">
        <f>'2.3 Identify Seasonality'!D15</f>
        <v>1565.8571428571429</v>
      </c>
      <c r="E16" s="17">
        <f>'2.4 Estimated Seasonal Pattern'!R10</f>
        <v>-628.65306122448976</v>
      </c>
      <c r="F16" s="17">
        <f t="shared" si="0"/>
        <v>937.20408163265313</v>
      </c>
      <c r="G16" s="81">
        <f t="shared" si="1"/>
        <v>60.795918367346871</v>
      </c>
    </row>
    <row r="17" spans="2:7" ht="15.6" x14ac:dyDescent="0.3">
      <c r="B17" s="6">
        <v>45060</v>
      </c>
      <c r="C17" s="7">
        <v>1052</v>
      </c>
      <c r="D17" s="17">
        <f>'2.3 Identify Seasonality'!D16</f>
        <v>1554.8571428571429</v>
      </c>
      <c r="E17" s="17">
        <f>'2.4 Estimated Seasonal Pattern'!R11</f>
        <v>-707.67346938775506</v>
      </c>
      <c r="F17" s="17">
        <f t="shared" si="0"/>
        <v>847.18367346938783</v>
      </c>
      <c r="G17" s="81">
        <f t="shared" si="1"/>
        <v>204.81632653061217</v>
      </c>
    </row>
    <row r="18" spans="2:7" ht="15.6" x14ac:dyDescent="0.3">
      <c r="B18" s="6">
        <v>45061</v>
      </c>
      <c r="C18" s="7">
        <v>1905</v>
      </c>
      <c r="D18" s="17">
        <f>'2.3 Identify Seasonality'!D17</f>
        <v>1576.2857142857142</v>
      </c>
      <c r="E18" s="17">
        <f>'2.4 Estimated Seasonal Pattern'!O5</f>
        <v>429.83673469387759</v>
      </c>
      <c r="F18" s="17">
        <f t="shared" si="0"/>
        <v>2006.1224489795918</v>
      </c>
      <c r="G18" s="81">
        <f t="shared" si="1"/>
        <v>-101.12244897959181</v>
      </c>
    </row>
    <row r="19" spans="2:7" ht="15.6" x14ac:dyDescent="0.3">
      <c r="B19" s="6">
        <v>45062</v>
      </c>
      <c r="C19" s="7">
        <v>1767</v>
      </c>
      <c r="D19" s="17">
        <f>'2.3 Identify Seasonality'!D18</f>
        <v>1585.2857142857142</v>
      </c>
      <c r="E19" s="17">
        <f>'2.4 Estimated Seasonal Pattern'!O6</f>
        <v>265.08163265306132</v>
      </c>
      <c r="F19" s="17">
        <f t="shared" si="0"/>
        <v>1850.3673469387754</v>
      </c>
      <c r="G19" s="81">
        <f t="shared" si="1"/>
        <v>-83.367346938775427</v>
      </c>
    </row>
    <row r="20" spans="2:7" ht="15.6" x14ac:dyDescent="0.3">
      <c r="B20" s="6">
        <v>45063</v>
      </c>
      <c r="C20" s="7">
        <v>1911</v>
      </c>
      <c r="D20" s="17">
        <f>'2.3 Identify Seasonality'!D19</f>
        <v>1586.7142857142858</v>
      </c>
      <c r="E20" s="17">
        <f>'2.4 Estimated Seasonal Pattern'!O7</f>
        <v>458.57142857142856</v>
      </c>
      <c r="F20" s="17">
        <f t="shared" si="0"/>
        <v>2045.2857142857142</v>
      </c>
      <c r="G20" s="81">
        <f t="shared" si="1"/>
        <v>-134.28571428571422</v>
      </c>
    </row>
    <row r="21" spans="2:7" ht="15.6" x14ac:dyDescent="0.3">
      <c r="B21" s="6">
        <v>45064</v>
      </c>
      <c r="C21" s="7">
        <v>2036</v>
      </c>
      <c r="D21" s="17">
        <f>'2.3 Identify Seasonality'!D20</f>
        <v>1591</v>
      </c>
      <c r="E21" s="17">
        <f>'2.4 Estimated Seasonal Pattern'!O8</f>
        <v>260.07142857142856</v>
      </c>
      <c r="F21" s="17">
        <f t="shared" si="0"/>
        <v>1851.0714285714284</v>
      </c>
      <c r="G21" s="81">
        <f t="shared" si="1"/>
        <v>184.92857142857156</v>
      </c>
    </row>
    <row r="22" spans="2:7" ht="15.6" x14ac:dyDescent="0.3">
      <c r="B22" s="6">
        <v>45065</v>
      </c>
      <c r="C22" s="7">
        <v>1428</v>
      </c>
      <c r="D22" s="17">
        <f>'2.3 Identify Seasonality'!D21</f>
        <v>1593.2857142857142</v>
      </c>
      <c r="E22" s="17">
        <f>'2.4 Estimated Seasonal Pattern'!O9</f>
        <v>-125.4081632653061</v>
      </c>
      <c r="F22" s="17">
        <f t="shared" si="0"/>
        <v>1467.8775510204082</v>
      </c>
      <c r="G22" s="81">
        <f t="shared" si="1"/>
        <v>-39.877551020408191</v>
      </c>
    </row>
    <row r="23" spans="2:7" ht="15.6" x14ac:dyDescent="0.3">
      <c r="B23" s="6">
        <v>45066</v>
      </c>
      <c r="C23" s="7">
        <v>1008</v>
      </c>
      <c r="D23" s="17">
        <f>'2.3 Identify Seasonality'!D22</f>
        <v>1595.1428571428571</v>
      </c>
      <c r="E23" s="17">
        <f>'2.4 Estimated Seasonal Pattern'!O10</f>
        <v>-628.65306122448976</v>
      </c>
      <c r="F23" s="17">
        <f t="shared" si="0"/>
        <v>966.48979591836735</v>
      </c>
      <c r="G23" s="81">
        <f t="shared" si="1"/>
        <v>41.510204081632651</v>
      </c>
    </row>
    <row r="24" spans="2:7" ht="15.6" x14ac:dyDescent="0.3">
      <c r="B24" s="6">
        <v>45067</v>
      </c>
      <c r="C24" s="7">
        <v>1082</v>
      </c>
      <c r="D24" s="17">
        <f>'2.3 Identify Seasonality'!D23</f>
        <v>1618</v>
      </c>
      <c r="E24" s="17">
        <f>'2.4 Estimated Seasonal Pattern'!O11</f>
        <v>-707.67346938775506</v>
      </c>
      <c r="F24" s="17">
        <f t="shared" si="0"/>
        <v>910.32653061224494</v>
      </c>
      <c r="G24" s="81">
        <f t="shared" si="1"/>
        <v>171.67346938775506</v>
      </c>
    </row>
    <row r="25" spans="2:7" ht="15.6" x14ac:dyDescent="0.3">
      <c r="B25" s="6">
        <v>45068</v>
      </c>
      <c r="C25" s="7">
        <v>1921</v>
      </c>
      <c r="D25" s="17">
        <f>'2.3 Identify Seasonality'!D24</f>
        <v>1586.1428571428571</v>
      </c>
      <c r="E25" s="17">
        <f>'2.4 Estimated Seasonal Pattern'!O5</f>
        <v>429.83673469387759</v>
      </c>
      <c r="F25" s="17">
        <f t="shared" si="0"/>
        <v>2015.9795918367347</v>
      </c>
      <c r="G25" s="81">
        <f t="shared" si="1"/>
        <v>-94.979591836734699</v>
      </c>
    </row>
    <row r="26" spans="2:7" ht="15.6" x14ac:dyDescent="0.3">
      <c r="B26" s="6">
        <v>45069</v>
      </c>
      <c r="C26" s="7">
        <v>1780</v>
      </c>
      <c r="D26" s="17">
        <f>'2.3 Identify Seasonality'!D25</f>
        <v>1636.4285714285713</v>
      </c>
      <c r="E26" s="17">
        <f>'2.4 Estimated Seasonal Pattern'!O6</f>
        <v>265.08163265306132</v>
      </c>
      <c r="F26" s="17">
        <f t="shared" si="0"/>
        <v>1901.5102040816328</v>
      </c>
      <c r="G26" s="81">
        <f t="shared" si="1"/>
        <v>-121.51020408163276</v>
      </c>
    </row>
    <row r="27" spans="2:7" ht="15.6" x14ac:dyDescent="0.3">
      <c r="B27" s="6">
        <v>45070</v>
      </c>
      <c r="C27" s="7">
        <v>2071</v>
      </c>
      <c r="D27" s="17">
        <f>'2.3 Identify Seasonality'!D26</f>
        <v>1669</v>
      </c>
      <c r="E27" s="17">
        <f>'2.4 Estimated Seasonal Pattern'!O7</f>
        <v>458.57142857142856</v>
      </c>
      <c r="F27" s="17">
        <f t="shared" si="0"/>
        <v>2127.5714285714284</v>
      </c>
      <c r="G27" s="81">
        <f t="shared" si="1"/>
        <v>-56.571428571428442</v>
      </c>
    </row>
    <row r="28" spans="2:7" ht="15.6" x14ac:dyDescent="0.3">
      <c r="B28" s="6">
        <v>45071</v>
      </c>
      <c r="C28" s="7">
        <v>1813</v>
      </c>
      <c r="D28" s="17">
        <f>'2.3 Identify Seasonality'!D27</f>
        <v>1669</v>
      </c>
      <c r="E28" s="17">
        <f>'2.4 Estimated Seasonal Pattern'!O8</f>
        <v>260.07142857142856</v>
      </c>
      <c r="F28" s="17">
        <f t="shared" si="0"/>
        <v>1929.0714285714284</v>
      </c>
      <c r="G28" s="81">
        <f t="shared" si="1"/>
        <v>-116.07142857142844</v>
      </c>
    </row>
    <row r="29" spans="2:7" ht="15.6" x14ac:dyDescent="0.3">
      <c r="B29" s="6">
        <v>45072</v>
      </c>
      <c r="C29" s="7">
        <v>1780</v>
      </c>
      <c r="D29" s="17">
        <f>'2.3 Identify Seasonality'!D28</f>
        <v>1648.4285714285713</v>
      </c>
      <c r="E29" s="17">
        <f>'2.4 Estimated Seasonal Pattern'!O9</f>
        <v>-125.4081632653061</v>
      </c>
      <c r="F29" s="17">
        <f t="shared" si="0"/>
        <v>1523.0204081632653</v>
      </c>
      <c r="G29" s="81">
        <f t="shared" si="1"/>
        <v>256.9795918367347</v>
      </c>
    </row>
    <row r="30" spans="2:7" ht="15.6" x14ac:dyDescent="0.3">
      <c r="B30" s="6">
        <v>45073</v>
      </c>
      <c r="C30" s="7">
        <v>1236</v>
      </c>
      <c r="D30" s="17">
        <f>'2.3 Identify Seasonality'!D29</f>
        <v>1646.4285714285713</v>
      </c>
      <c r="E30" s="17">
        <f>'2.4 Estimated Seasonal Pattern'!O10</f>
        <v>-628.65306122448976</v>
      </c>
      <c r="F30" s="17">
        <f t="shared" si="0"/>
        <v>1017.7755102040816</v>
      </c>
      <c r="G30" s="81">
        <f t="shared" si="1"/>
        <v>218.22448979591843</v>
      </c>
    </row>
    <row r="31" spans="2:7" ht="15.6" x14ac:dyDescent="0.3">
      <c r="B31" s="6">
        <v>45074</v>
      </c>
      <c r="C31" s="7">
        <v>1082</v>
      </c>
      <c r="D31" s="17">
        <f>'2.3 Identify Seasonality'!D30</f>
        <v>1619.7142857142858</v>
      </c>
      <c r="E31" s="17">
        <f>'2.4 Estimated Seasonal Pattern'!O11</f>
        <v>-707.67346938775506</v>
      </c>
      <c r="F31" s="17">
        <f t="shared" si="0"/>
        <v>912.04081632653072</v>
      </c>
      <c r="G31" s="81">
        <f t="shared" si="1"/>
        <v>169.95918367346928</v>
      </c>
    </row>
    <row r="32" spans="2:7" ht="15.6" x14ac:dyDescent="0.3">
      <c r="B32" s="6">
        <v>45075</v>
      </c>
      <c r="C32" s="7">
        <v>1777</v>
      </c>
      <c r="D32" s="17">
        <f>'2.3 Identify Seasonality'!D31</f>
        <v>1615</v>
      </c>
      <c r="E32" s="17">
        <f>'2.4 Estimated Seasonal Pattern'!O5</f>
        <v>429.83673469387759</v>
      </c>
      <c r="F32" s="17">
        <f t="shared" si="0"/>
        <v>2044.8367346938776</v>
      </c>
      <c r="G32" s="81">
        <f t="shared" si="1"/>
        <v>-267.83673469387759</v>
      </c>
    </row>
    <row r="33" spans="2:7" ht="15.6" x14ac:dyDescent="0.3">
      <c r="B33" s="6">
        <v>45076</v>
      </c>
      <c r="C33" s="7">
        <v>1766</v>
      </c>
      <c r="D33" s="17">
        <f>'2.3 Identify Seasonality'!D32</f>
        <v>1585.2857142857142</v>
      </c>
      <c r="E33" s="17">
        <f>'2.4 Estimated Seasonal Pattern'!O6</f>
        <v>265.08163265306132</v>
      </c>
      <c r="F33" s="17">
        <f t="shared" si="0"/>
        <v>1850.3673469387754</v>
      </c>
      <c r="G33" s="81">
        <f t="shared" si="1"/>
        <v>-84.367346938775427</v>
      </c>
    </row>
    <row r="34" spans="2:7" ht="15.6" x14ac:dyDescent="0.3">
      <c r="B34" s="6">
        <v>45077</v>
      </c>
      <c r="C34" s="7">
        <v>1884</v>
      </c>
      <c r="D34" s="17">
        <f>'2.3 Identify Seasonality'!D33</f>
        <v>1544.1428571428571</v>
      </c>
      <c r="E34" s="17">
        <f>'2.4 Estimated Seasonal Pattern'!O7</f>
        <v>458.57142857142856</v>
      </c>
      <c r="F34" s="17">
        <f t="shared" si="0"/>
        <v>2002.7142857142858</v>
      </c>
      <c r="G34" s="81">
        <f t="shared" si="1"/>
        <v>-118.71428571428578</v>
      </c>
    </row>
    <row r="35" spans="2:7" ht="15.6" x14ac:dyDescent="0.3">
      <c r="B35" s="6">
        <v>45078</v>
      </c>
      <c r="C35" s="7">
        <v>1780</v>
      </c>
      <c r="D35" s="17">
        <f>'2.3 Identify Seasonality'!D34</f>
        <v>1544.5714285714287</v>
      </c>
      <c r="E35" s="17">
        <f>'2.4 Estimated Seasonal Pattern'!O8</f>
        <v>260.07142857142856</v>
      </c>
      <c r="F35" s="17">
        <f t="shared" si="0"/>
        <v>1804.6428571428573</v>
      </c>
      <c r="G35" s="81">
        <f t="shared" si="1"/>
        <v>-24.642857142857338</v>
      </c>
    </row>
    <row r="36" spans="2:7" ht="15.6" x14ac:dyDescent="0.3">
      <c r="B36" s="6">
        <v>45079</v>
      </c>
      <c r="C36" s="7">
        <v>1572</v>
      </c>
      <c r="D36" s="17">
        <f>'2.3 Identify Seasonality'!D35</f>
        <v>1707.4285714285713</v>
      </c>
      <c r="E36" s="17">
        <f>'2.4 Estimated Seasonal Pattern'!O9</f>
        <v>-125.4081632653061</v>
      </c>
      <c r="F36" s="17">
        <f t="shared" si="0"/>
        <v>1582.0204081632653</v>
      </c>
      <c r="G36" s="81">
        <f t="shared" si="1"/>
        <v>-10.020408163265301</v>
      </c>
    </row>
    <row r="37" spans="2:7" ht="15.6" x14ac:dyDescent="0.3">
      <c r="B37" s="6">
        <v>45080</v>
      </c>
      <c r="C37" s="7">
        <v>948</v>
      </c>
      <c r="D37" s="17">
        <f>'2.3 Identify Seasonality'!D36</f>
        <v>1855.2857142857142</v>
      </c>
      <c r="E37" s="17">
        <f>'2.4 Estimated Seasonal Pattern'!O10</f>
        <v>-628.65306122448976</v>
      </c>
      <c r="F37" s="17">
        <f t="shared" si="0"/>
        <v>1226.6326530612246</v>
      </c>
      <c r="G37" s="81">
        <f t="shared" si="1"/>
        <v>-278.63265306122457</v>
      </c>
    </row>
    <row r="38" spans="2:7" ht="15.6" x14ac:dyDescent="0.3">
      <c r="B38" s="6">
        <v>45081</v>
      </c>
      <c r="C38" s="7">
        <v>1085</v>
      </c>
      <c r="D38" s="17">
        <f>'2.3 Identify Seasonality'!D37</f>
        <v>2025.4285714285713</v>
      </c>
      <c r="E38" s="17">
        <f>'2.4 Estimated Seasonal Pattern'!O11</f>
        <v>-707.67346938775506</v>
      </c>
      <c r="F38" s="17">
        <f t="shared" si="0"/>
        <v>1317.7551020408164</v>
      </c>
      <c r="G38" s="81">
        <f t="shared" si="1"/>
        <v>-232.75510204081638</v>
      </c>
    </row>
    <row r="39" spans="2:7" ht="15.6" x14ac:dyDescent="0.3">
      <c r="B39" s="6">
        <v>45082</v>
      </c>
      <c r="C39" s="7">
        <v>2917</v>
      </c>
      <c r="D39" s="17">
        <f>'2.3 Identify Seasonality'!D38</f>
        <v>2162.1428571428573</v>
      </c>
      <c r="E39" s="17">
        <f>'2.4 Estimated Seasonal Pattern'!O5</f>
        <v>429.83673469387759</v>
      </c>
      <c r="F39" s="17">
        <f t="shared" si="0"/>
        <v>2591.9795918367349</v>
      </c>
      <c r="G39" s="81">
        <f t="shared" si="1"/>
        <v>325.02040816326507</v>
      </c>
    </row>
    <row r="40" spans="2:7" ht="15.6" x14ac:dyDescent="0.3">
      <c r="B40" s="6">
        <v>45083</v>
      </c>
      <c r="C40" s="7">
        <v>2801</v>
      </c>
      <c r="D40" s="17">
        <f>'2.3 Identify Seasonality'!D39</f>
        <v>2270.2857142857142</v>
      </c>
      <c r="E40" s="17">
        <f>'2.4 Estimated Seasonal Pattern'!O6</f>
        <v>265.08163265306132</v>
      </c>
      <c r="F40" s="17">
        <f t="shared" si="0"/>
        <v>2535.3673469387754</v>
      </c>
      <c r="G40" s="81">
        <f t="shared" si="1"/>
        <v>265.63265306122457</v>
      </c>
    </row>
    <row r="41" spans="2:7" ht="15.6" x14ac:dyDescent="0.3">
      <c r="B41" s="6">
        <v>45084</v>
      </c>
      <c r="C41" s="7">
        <v>3075</v>
      </c>
      <c r="D41" s="17">
        <f>'2.3 Identify Seasonality'!D40</f>
        <v>2354.8571428571427</v>
      </c>
      <c r="E41" s="17">
        <f>'2.4 Estimated Seasonal Pattern'!O7</f>
        <v>458.57142857142856</v>
      </c>
      <c r="F41" s="17">
        <f t="shared" si="0"/>
        <v>2813.4285714285711</v>
      </c>
      <c r="G41" s="81">
        <f t="shared" si="1"/>
        <v>261.5714285714289</v>
      </c>
    </row>
    <row r="42" spans="2:7" ht="15.6" x14ac:dyDescent="0.3">
      <c r="B42" s="6">
        <v>45085</v>
      </c>
      <c r="C42" s="7">
        <v>2737</v>
      </c>
      <c r="D42" s="17">
        <f>'2.3 Identify Seasonality'!D41</f>
        <v>2455.1428571428573</v>
      </c>
      <c r="E42" s="17">
        <f>'2.4 Estimated Seasonal Pattern'!O8</f>
        <v>260.07142857142856</v>
      </c>
      <c r="F42" s="17">
        <f t="shared" si="0"/>
        <v>2715.2142857142858</v>
      </c>
      <c r="G42" s="81">
        <f t="shared" si="1"/>
        <v>21.785714285714221</v>
      </c>
    </row>
    <row r="43" spans="2:7" ht="15.6" x14ac:dyDescent="0.3">
      <c r="B43" s="6">
        <v>45086</v>
      </c>
      <c r="C43" s="7">
        <v>2329</v>
      </c>
      <c r="D43" s="17">
        <f>'2.3 Identify Seasonality'!D42</f>
        <v>2481.5714285714284</v>
      </c>
      <c r="E43" s="17">
        <f>'2.4 Estimated Seasonal Pattern'!O9</f>
        <v>-125.4081632653061</v>
      </c>
      <c r="F43" s="17">
        <f t="shared" si="0"/>
        <v>2356.1632653061224</v>
      </c>
      <c r="G43" s="81">
        <f t="shared" si="1"/>
        <v>-27.163265306122412</v>
      </c>
    </row>
    <row r="44" spans="2:7" ht="15.6" x14ac:dyDescent="0.3">
      <c r="B44" s="6">
        <v>45087</v>
      </c>
      <c r="C44" s="7">
        <v>1540</v>
      </c>
      <c r="D44" s="17">
        <f>'2.3 Identify Seasonality'!D43</f>
        <v>2424.7142857142858</v>
      </c>
      <c r="E44" s="17">
        <f>'2.4 Estimated Seasonal Pattern'!O10</f>
        <v>-628.65306122448976</v>
      </c>
      <c r="F44" s="17">
        <f t="shared" si="0"/>
        <v>1796.0612244897961</v>
      </c>
      <c r="G44" s="81">
        <f t="shared" si="1"/>
        <v>-256.06122448979613</v>
      </c>
    </row>
    <row r="45" spans="2:7" ht="15.6" x14ac:dyDescent="0.3">
      <c r="B45" s="6">
        <v>45088</v>
      </c>
      <c r="C45" s="7">
        <v>1787</v>
      </c>
      <c r="D45" s="17">
        <f>'2.3 Identify Seasonality'!D44</f>
        <v>2403.5714285714284</v>
      </c>
      <c r="E45" s="17">
        <f>'2.4 Estimated Seasonal Pattern'!O11</f>
        <v>-707.67346938775506</v>
      </c>
      <c r="F45" s="17">
        <f t="shared" si="0"/>
        <v>1695.8979591836733</v>
      </c>
      <c r="G45" s="81">
        <f t="shared" si="1"/>
        <v>91.102040816326735</v>
      </c>
    </row>
    <row r="46" spans="2:7" ht="15.6" x14ac:dyDescent="0.3">
      <c r="B46" s="6">
        <v>45089</v>
      </c>
      <c r="C46" s="7">
        <v>3102</v>
      </c>
      <c r="D46" s="17">
        <f>'2.3 Identify Seasonality'!D45</f>
        <v>2471.5714285714284</v>
      </c>
      <c r="E46" s="17">
        <f>'2.4 Estimated Seasonal Pattern'!O5</f>
        <v>429.83673469387759</v>
      </c>
      <c r="F46" s="17">
        <f t="shared" si="0"/>
        <v>2901.408163265306</v>
      </c>
      <c r="G46" s="81">
        <f t="shared" si="1"/>
        <v>200.59183673469397</v>
      </c>
    </row>
    <row r="47" spans="2:7" ht="15.6" x14ac:dyDescent="0.3">
      <c r="B47" s="6">
        <v>45090</v>
      </c>
      <c r="C47" s="7">
        <v>2403</v>
      </c>
      <c r="D47" s="17">
        <f>'2.3 Identify Seasonality'!D46</f>
        <v>2452.2857142857142</v>
      </c>
      <c r="E47" s="17">
        <f>'2.4 Estimated Seasonal Pattern'!O6</f>
        <v>265.08163265306132</v>
      </c>
      <c r="F47" s="17">
        <f t="shared" si="0"/>
        <v>2717.3673469387754</v>
      </c>
      <c r="G47" s="81">
        <f t="shared" si="1"/>
        <v>-314.36734693877543</v>
      </c>
    </row>
    <row r="48" spans="2:7" ht="15.6" x14ac:dyDescent="0.3">
      <c r="B48" s="6">
        <v>45091</v>
      </c>
      <c r="C48" s="7">
        <v>2927</v>
      </c>
      <c r="D48" s="17">
        <f>'2.3 Identify Seasonality'!D47</f>
        <v>2486.5714285714284</v>
      </c>
      <c r="E48" s="17">
        <f>'2.4 Estimated Seasonal Pattern'!O7</f>
        <v>458.57142857142856</v>
      </c>
      <c r="F48" s="17">
        <f t="shared" si="0"/>
        <v>2945.1428571428569</v>
      </c>
      <c r="G48" s="81">
        <f t="shared" si="1"/>
        <v>-18.142857142856883</v>
      </c>
    </row>
    <row r="49" spans="2:7" ht="15.6" x14ac:dyDescent="0.3">
      <c r="B49" s="6">
        <v>45092</v>
      </c>
      <c r="C49" s="7">
        <v>3213</v>
      </c>
      <c r="D49" s="17">
        <f>'2.3 Identify Seasonality'!D48</f>
        <v>2432.4285714285716</v>
      </c>
      <c r="E49" s="17">
        <f>'2.4 Estimated Seasonal Pattern'!O8</f>
        <v>260.07142857142856</v>
      </c>
      <c r="F49" s="17">
        <f t="shared" si="0"/>
        <v>2692.5</v>
      </c>
      <c r="G49" s="81">
        <f t="shared" si="1"/>
        <v>520.5</v>
      </c>
    </row>
    <row r="50" spans="2:7" ht="15.6" x14ac:dyDescent="0.3">
      <c r="B50" s="6">
        <v>45093</v>
      </c>
      <c r="C50" s="7">
        <v>2194</v>
      </c>
      <c r="D50" s="17">
        <f>'2.3 Identify Seasonality'!D49</f>
        <v>2406.4285714285716</v>
      </c>
      <c r="E50" s="17">
        <f>'2.4 Estimated Seasonal Pattern'!O9</f>
        <v>-125.4081632653061</v>
      </c>
      <c r="F50" s="17">
        <f t="shared" si="0"/>
        <v>2281.0204081632655</v>
      </c>
      <c r="G50" s="81">
        <f t="shared" si="1"/>
        <v>-87.020408163265529</v>
      </c>
    </row>
    <row r="51" spans="2:7" ht="15.6" x14ac:dyDescent="0.3">
      <c r="B51" s="6">
        <v>45094</v>
      </c>
      <c r="C51" s="7">
        <v>1780</v>
      </c>
      <c r="D51" s="17">
        <f>'2.3 Identify Seasonality'!D50</f>
        <v>2441.2857142857142</v>
      </c>
      <c r="E51" s="17">
        <f>'2.4 Estimated Seasonal Pattern'!O10</f>
        <v>-628.65306122448976</v>
      </c>
      <c r="F51" s="17">
        <f t="shared" si="0"/>
        <v>1812.6326530612246</v>
      </c>
      <c r="G51" s="81">
        <f t="shared" si="1"/>
        <v>-32.632653061224573</v>
      </c>
    </row>
    <row r="52" spans="2:7" ht="15.6" x14ac:dyDescent="0.3">
      <c r="B52" s="6">
        <v>45095</v>
      </c>
      <c r="C52" s="7">
        <v>1408</v>
      </c>
      <c r="D52" s="17">
        <f>'2.3 Identify Seasonality'!D51</f>
        <v>2454.5714285714284</v>
      </c>
      <c r="E52" s="17">
        <f>'2.4 Estimated Seasonal Pattern'!O11</f>
        <v>-707.67346938775506</v>
      </c>
      <c r="F52" s="17">
        <f t="shared" si="0"/>
        <v>1746.8979591836733</v>
      </c>
      <c r="G52" s="81">
        <f t="shared" si="1"/>
        <v>-338.89795918367327</v>
      </c>
    </row>
    <row r="53" spans="2:7" ht="15.6" x14ac:dyDescent="0.3">
      <c r="B53" s="6">
        <v>45096</v>
      </c>
      <c r="C53" s="7">
        <v>2920</v>
      </c>
      <c r="D53" s="17">
        <f>'2.3 Identify Seasonality'!D52</f>
        <v>2329.5714285714284</v>
      </c>
      <c r="E53" s="17">
        <f>'2.4 Estimated Seasonal Pattern'!O5</f>
        <v>429.83673469387759</v>
      </c>
      <c r="F53" s="17">
        <f t="shared" si="0"/>
        <v>2759.408163265306</v>
      </c>
      <c r="G53" s="81">
        <f t="shared" si="1"/>
        <v>160.59183673469397</v>
      </c>
    </row>
    <row r="54" spans="2:7" ht="15.6" x14ac:dyDescent="0.3">
      <c r="B54" s="6">
        <v>45097</v>
      </c>
      <c r="C54" s="7">
        <v>2647</v>
      </c>
      <c r="D54" s="17">
        <f>'2.3 Identify Seasonality'!D53</f>
        <v>2437.5714285714284</v>
      </c>
      <c r="E54" s="17">
        <f>'2.4 Estimated Seasonal Pattern'!O6</f>
        <v>265.08163265306132</v>
      </c>
      <c r="F54" s="17">
        <f t="shared" si="0"/>
        <v>2702.6530612244896</v>
      </c>
      <c r="G54" s="81">
        <f t="shared" si="1"/>
        <v>-55.653061224489647</v>
      </c>
    </row>
    <row r="55" spans="2:7" ht="15.6" x14ac:dyDescent="0.3">
      <c r="B55" s="6">
        <v>45098</v>
      </c>
      <c r="C55" s="7">
        <v>3020</v>
      </c>
      <c r="D55" s="17">
        <f>'2.3 Identify Seasonality'!D54</f>
        <v>2412</v>
      </c>
      <c r="E55" s="17">
        <f>'2.4 Estimated Seasonal Pattern'!O7</f>
        <v>458.57142857142856</v>
      </c>
      <c r="F55" s="17">
        <f t="shared" si="0"/>
        <v>2870.5714285714284</v>
      </c>
      <c r="G55" s="81">
        <f t="shared" si="1"/>
        <v>149.42857142857156</v>
      </c>
    </row>
    <row r="56" spans="2:7" ht="15.6" x14ac:dyDescent="0.3">
      <c r="B56" s="6">
        <v>45099</v>
      </c>
      <c r="C56" s="7">
        <v>2338</v>
      </c>
      <c r="D56" s="17">
        <f>'2.3 Identify Seasonality'!D55</f>
        <v>2441.5714285714284</v>
      </c>
      <c r="E56" s="17">
        <f>'2.4 Estimated Seasonal Pattern'!O8</f>
        <v>260.07142857142856</v>
      </c>
      <c r="F56" s="17">
        <f t="shared" si="0"/>
        <v>2701.6428571428569</v>
      </c>
      <c r="G56" s="81">
        <f t="shared" si="1"/>
        <v>-363.64285714285688</v>
      </c>
    </row>
    <row r="57" spans="2:7" ht="15.6" x14ac:dyDescent="0.3">
      <c r="B57" s="6">
        <v>45100</v>
      </c>
      <c r="C57" s="7">
        <v>2950</v>
      </c>
      <c r="D57" s="17"/>
      <c r="E57" s="14"/>
      <c r="F57" s="17"/>
      <c r="G57" s="81"/>
    </row>
    <row r="58" spans="2:7" ht="15.6" x14ac:dyDescent="0.3">
      <c r="B58" s="6">
        <v>45101</v>
      </c>
      <c r="C58" s="7">
        <v>1601</v>
      </c>
      <c r="D58" s="17"/>
      <c r="E58" s="14"/>
      <c r="F58" s="17"/>
      <c r="G58" s="81"/>
    </row>
    <row r="59" spans="2:7" ht="15.6" x14ac:dyDescent="0.3">
      <c r="B59" s="6">
        <v>45102</v>
      </c>
      <c r="C59" s="7">
        <v>1615</v>
      </c>
      <c r="D59" s="17"/>
      <c r="E59" s="14"/>
      <c r="F59" s="17"/>
      <c r="G59" s="8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5C34-4FFC-454A-8F85-8F9C0EC4AE47}">
  <dimension ref="B2:M64"/>
  <sheetViews>
    <sheetView workbookViewId="0">
      <selection activeCell="L54" sqref="L54"/>
    </sheetView>
  </sheetViews>
  <sheetFormatPr defaultRowHeight="14.4" x14ac:dyDescent="0.3"/>
  <cols>
    <col min="3" max="3" width="11.33203125" customWidth="1"/>
    <col min="6" max="6" width="22" customWidth="1"/>
    <col min="7" max="7" width="8.88671875" style="9"/>
    <col min="8" max="8" width="14.109375" customWidth="1"/>
    <col min="9" max="9" width="13.33203125" customWidth="1"/>
    <col min="12" max="12" width="18.88671875" customWidth="1"/>
  </cols>
  <sheetData>
    <row r="2" spans="2:13" ht="15.6" x14ac:dyDescent="0.3">
      <c r="B2" s="72" t="s">
        <v>1</v>
      </c>
      <c r="C2" s="73" t="s">
        <v>2</v>
      </c>
      <c r="D2" s="80" t="s">
        <v>9</v>
      </c>
      <c r="E2" s="80" t="s">
        <v>10</v>
      </c>
      <c r="F2" s="80" t="s">
        <v>25</v>
      </c>
      <c r="G2" s="87" t="s">
        <v>26</v>
      </c>
      <c r="H2" s="80" t="s">
        <v>27</v>
      </c>
      <c r="I2" s="80" t="s">
        <v>28</v>
      </c>
    </row>
    <row r="3" spans="2:13" ht="15.6" x14ac:dyDescent="0.3">
      <c r="B3" s="6">
        <v>45047</v>
      </c>
      <c r="C3" s="7">
        <v>1576</v>
      </c>
      <c r="D3" s="16"/>
      <c r="E3" s="16"/>
      <c r="F3" s="16"/>
      <c r="G3" s="82"/>
      <c r="H3" s="16"/>
      <c r="I3" s="16"/>
    </row>
    <row r="4" spans="2:13" ht="15.6" x14ac:dyDescent="0.3">
      <c r="B4" s="6">
        <v>45048</v>
      </c>
      <c r="C4" s="7">
        <v>2299</v>
      </c>
      <c r="D4" s="16"/>
      <c r="E4" s="16"/>
      <c r="F4" s="16"/>
      <c r="G4" s="82"/>
      <c r="H4" s="16"/>
      <c r="I4" s="16"/>
    </row>
    <row r="5" spans="2:13" ht="15.6" x14ac:dyDescent="0.3">
      <c r="B5" s="6">
        <v>45049</v>
      </c>
      <c r="C5" s="7">
        <v>1878</v>
      </c>
      <c r="D5" s="16"/>
      <c r="E5" s="16"/>
      <c r="F5" s="16"/>
      <c r="G5" s="82"/>
      <c r="H5" s="16"/>
      <c r="I5" s="16"/>
      <c r="L5" s="39" t="s">
        <v>29</v>
      </c>
      <c r="M5" s="14"/>
    </row>
    <row r="6" spans="2:13" ht="15.6" x14ac:dyDescent="0.3">
      <c r="B6" s="6">
        <v>45050</v>
      </c>
      <c r="C6" s="7">
        <v>1628</v>
      </c>
      <c r="D6" s="83" cm="1">
        <f t="array" ref="D6:E55">'2.3 Identify Seasonality'!F6:G55</f>
        <v>1</v>
      </c>
      <c r="E6" s="16" t="str">
        <v>Thu</v>
      </c>
      <c r="F6" s="16"/>
      <c r="G6" s="82"/>
      <c r="H6" s="16"/>
      <c r="I6" s="16"/>
      <c r="L6" s="39"/>
      <c r="M6" s="14"/>
    </row>
    <row r="7" spans="2:13" ht="15.6" x14ac:dyDescent="0.3">
      <c r="B7" s="6">
        <v>45051</v>
      </c>
      <c r="C7" s="7">
        <v>1555</v>
      </c>
      <c r="D7" s="16">
        <v>1</v>
      </c>
      <c r="E7" s="16" t="str">
        <v>Fri</v>
      </c>
      <c r="F7" s="16"/>
      <c r="G7" s="82"/>
      <c r="H7" s="16"/>
      <c r="I7" s="16"/>
      <c r="L7" s="39" t="s">
        <v>30</v>
      </c>
      <c r="M7" s="71">
        <f>AVERAGE(G3:G51)</f>
        <v>142.54761904761904</v>
      </c>
    </row>
    <row r="8" spans="2:13" ht="15.6" x14ac:dyDescent="0.3">
      <c r="B8" s="6">
        <v>45052</v>
      </c>
      <c r="C8" s="7">
        <v>1240</v>
      </c>
      <c r="D8" s="16">
        <v>1</v>
      </c>
      <c r="E8" s="16" t="str">
        <v>Sat</v>
      </c>
      <c r="F8" s="16"/>
      <c r="G8" s="82"/>
      <c r="H8" s="16"/>
      <c r="I8" s="16"/>
      <c r="L8" s="39" t="s">
        <v>31</v>
      </c>
      <c r="M8" s="14">
        <f>AVERAGE(H10:H51)</f>
        <v>295.16666666666669</v>
      </c>
    </row>
    <row r="9" spans="2:13" ht="15.6" x14ac:dyDescent="0.3">
      <c r="B9" s="6">
        <v>45053</v>
      </c>
      <c r="C9" s="7">
        <v>864</v>
      </c>
      <c r="D9" s="16">
        <v>1</v>
      </c>
      <c r="E9" s="16" t="str">
        <v>Sun</v>
      </c>
      <c r="F9" s="7"/>
      <c r="G9" s="82"/>
      <c r="H9" s="16"/>
      <c r="I9" s="16"/>
      <c r="L9" s="39" t="s">
        <v>32</v>
      </c>
      <c r="M9" s="71">
        <f>AVERAGE(I10:I51)</f>
        <v>186754.78571428571</v>
      </c>
    </row>
    <row r="10" spans="2:13" ht="15.6" x14ac:dyDescent="0.3">
      <c r="B10" s="6">
        <v>45054</v>
      </c>
      <c r="C10" s="7">
        <v>1882</v>
      </c>
      <c r="D10" s="16">
        <v>2</v>
      </c>
      <c r="E10" s="16" t="str">
        <v>Mon</v>
      </c>
      <c r="F10" s="7">
        <v>1576</v>
      </c>
      <c r="G10" s="82">
        <f>C10-F10</f>
        <v>306</v>
      </c>
      <c r="H10" s="16">
        <f>ABS(G10)</f>
        <v>306</v>
      </c>
      <c r="I10" s="84">
        <f>G10^2</f>
        <v>93636</v>
      </c>
      <c r="L10" s="39" t="s">
        <v>33</v>
      </c>
      <c r="M10" s="14">
        <f>SQRT($M$9)</f>
        <v>432.15134584342752</v>
      </c>
    </row>
    <row r="11" spans="2:13" ht="15.6" x14ac:dyDescent="0.3">
      <c r="B11" s="6">
        <v>45055</v>
      </c>
      <c r="C11" s="7">
        <v>2306</v>
      </c>
      <c r="D11" s="16">
        <v>2</v>
      </c>
      <c r="E11" s="16" t="str">
        <v>Tue</v>
      </c>
      <c r="F11" s="7">
        <v>2299</v>
      </c>
      <c r="G11" s="82">
        <f t="shared" ref="G11:G58" si="0">C11-F11</f>
        <v>7</v>
      </c>
      <c r="H11" s="16">
        <f t="shared" ref="H11:H58" si="1">ABS(G11)</f>
        <v>7</v>
      </c>
      <c r="I11" s="84">
        <f t="shared" ref="I11:I58" si="2">G11^2</f>
        <v>49</v>
      </c>
    </row>
    <row r="12" spans="2:13" ht="15.6" x14ac:dyDescent="0.3">
      <c r="B12" s="6">
        <v>45056</v>
      </c>
      <c r="C12" s="7">
        <v>1988</v>
      </c>
      <c r="D12" s="16">
        <v>2</v>
      </c>
      <c r="E12" s="16" t="str">
        <v>Wed</v>
      </c>
      <c r="F12" s="7">
        <v>1878</v>
      </c>
      <c r="G12" s="82">
        <f t="shared" si="0"/>
        <v>110</v>
      </c>
      <c r="H12" s="16">
        <f t="shared" si="1"/>
        <v>110</v>
      </c>
      <c r="I12" s="84">
        <f t="shared" si="2"/>
        <v>12100</v>
      </c>
    </row>
    <row r="13" spans="2:13" ht="15.6" x14ac:dyDescent="0.3">
      <c r="B13" s="6">
        <v>45057</v>
      </c>
      <c r="C13" s="7">
        <v>1886</v>
      </c>
      <c r="D13" s="16">
        <v>2</v>
      </c>
      <c r="E13" s="16" t="str">
        <v>Thu</v>
      </c>
      <c r="F13" s="7">
        <v>1628</v>
      </c>
      <c r="G13" s="82">
        <f t="shared" si="0"/>
        <v>258</v>
      </c>
      <c r="H13" s="16">
        <f t="shared" si="1"/>
        <v>258</v>
      </c>
      <c r="I13" s="84">
        <f t="shared" si="2"/>
        <v>66564</v>
      </c>
    </row>
    <row r="14" spans="2:13" ht="15.6" x14ac:dyDescent="0.3">
      <c r="B14" s="6">
        <v>45058</v>
      </c>
      <c r="C14" s="7">
        <v>1365</v>
      </c>
      <c r="D14" s="16">
        <v>2</v>
      </c>
      <c r="E14" s="16" t="str">
        <v>Fri</v>
      </c>
      <c r="F14" s="7">
        <v>1555</v>
      </c>
      <c r="G14" s="82">
        <f t="shared" si="0"/>
        <v>-190</v>
      </c>
      <c r="H14" s="16">
        <f t="shared" si="1"/>
        <v>190</v>
      </c>
      <c r="I14" s="84">
        <f t="shared" si="2"/>
        <v>36100</v>
      </c>
      <c r="L14" s="39" t="s">
        <v>34</v>
      </c>
      <c r="M14" s="14"/>
    </row>
    <row r="15" spans="2:13" ht="15.6" x14ac:dyDescent="0.3">
      <c r="B15" s="6">
        <v>45059</v>
      </c>
      <c r="C15" s="7">
        <v>998</v>
      </c>
      <c r="D15" s="16">
        <v>2</v>
      </c>
      <c r="E15" s="16" t="str">
        <v>Sat</v>
      </c>
      <c r="F15" s="7">
        <v>1240</v>
      </c>
      <c r="G15" s="82">
        <f t="shared" si="0"/>
        <v>-242</v>
      </c>
      <c r="H15" s="16">
        <f t="shared" si="1"/>
        <v>242</v>
      </c>
      <c r="I15" s="84">
        <f t="shared" si="2"/>
        <v>58564</v>
      </c>
      <c r="L15" s="39"/>
      <c r="M15" s="14"/>
    </row>
    <row r="16" spans="2:13" ht="15.6" x14ac:dyDescent="0.3">
      <c r="B16" s="6">
        <v>45060</v>
      </c>
      <c r="C16" s="7">
        <v>1052</v>
      </c>
      <c r="D16" s="16">
        <v>2</v>
      </c>
      <c r="E16" s="16" t="str">
        <v>Sun</v>
      </c>
      <c r="F16" s="7">
        <v>864</v>
      </c>
      <c r="G16" s="82">
        <f t="shared" si="0"/>
        <v>188</v>
      </c>
      <c r="H16" s="16">
        <f t="shared" si="1"/>
        <v>188</v>
      </c>
      <c r="I16" s="84">
        <f t="shared" si="2"/>
        <v>35344</v>
      </c>
      <c r="L16" s="39" t="s">
        <v>30</v>
      </c>
      <c r="M16" s="17">
        <f>AVERAGE(G52:G58)</f>
        <v>9.1428571428571423</v>
      </c>
    </row>
    <row r="17" spans="2:13" ht="15.6" x14ac:dyDescent="0.3">
      <c r="B17" s="6">
        <v>45061</v>
      </c>
      <c r="C17" s="7">
        <v>1905</v>
      </c>
      <c r="D17" s="16">
        <v>3</v>
      </c>
      <c r="E17" s="16" t="str">
        <v>Mon</v>
      </c>
      <c r="F17" s="7">
        <v>1882</v>
      </c>
      <c r="G17" s="82">
        <f t="shared" si="0"/>
        <v>23</v>
      </c>
      <c r="H17" s="16">
        <f t="shared" si="1"/>
        <v>23</v>
      </c>
      <c r="I17" s="84">
        <f t="shared" si="2"/>
        <v>529</v>
      </c>
      <c r="L17" s="39" t="s">
        <v>31</v>
      </c>
      <c r="M17" s="14">
        <f>AVERAGE(H52:H58)</f>
        <v>362.28571428571428</v>
      </c>
    </row>
    <row r="18" spans="2:13" ht="15.6" x14ac:dyDescent="0.3">
      <c r="B18" s="6">
        <v>45062</v>
      </c>
      <c r="C18" s="7">
        <v>1767</v>
      </c>
      <c r="D18" s="16">
        <v>3</v>
      </c>
      <c r="E18" s="16" t="str">
        <v>Tue</v>
      </c>
      <c r="F18" s="7">
        <v>2306</v>
      </c>
      <c r="G18" s="82">
        <f t="shared" si="0"/>
        <v>-539</v>
      </c>
      <c r="H18" s="16">
        <f t="shared" si="1"/>
        <v>539</v>
      </c>
      <c r="I18" s="84">
        <f t="shared" si="2"/>
        <v>290521</v>
      </c>
      <c r="L18" s="39" t="s">
        <v>32</v>
      </c>
      <c r="M18" s="71">
        <f>AVERAGE(I52:I58)</f>
        <v>216194.28571428571</v>
      </c>
    </row>
    <row r="19" spans="2:13" ht="15.6" x14ac:dyDescent="0.3">
      <c r="B19" s="6">
        <v>45063</v>
      </c>
      <c r="C19" s="7">
        <v>1911</v>
      </c>
      <c r="D19" s="16">
        <v>3</v>
      </c>
      <c r="E19" s="16" t="str">
        <v>Wed</v>
      </c>
      <c r="F19" s="7">
        <v>1988</v>
      </c>
      <c r="G19" s="82">
        <f t="shared" si="0"/>
        <v>-77</v>
      </c>
      <c r="H19" s="16">
        <f t="shared" si="1"/>
        <v>77</v>
      </c>
      <c r="I19" s="84">
        <f t="shared" si="2"/>
        <v>5929</v>
      </c>
      <c r="L19" s="39" t="s">
        <v>33</v>
      </c>
      <c r="M19" s="14">
        <f>SQRT(M18)</f>
        <v>464.96697271342373</v>
      </c>
    </row>
    <row r="20" spans="2:13" ht="15.6" x14ac:dyDescent="0.3">
      <c r="B20" s="6">
        <v>45064</v>
      </c>
      <c r="C20" s="7">
        <v>2036</v>
      </c>
      <c r="D20" s="16">
        <v>3</v>
      </c>
      <c r="E20" s="16" t="str">
        <v>Thu</v>
      </c>
      <c r="F20" s="7">
        <v>1886</v>
      </c>
      <c r="G20" s="82">
        <f t="shared" si="0"/>
        <v>150</v>
      </c>
      <c r="H20" s="16">
        <f t="shared" si="1"/>
        <v>150</v>
      </c>
      <c r="I20" s="84">
        <f t="shared" si="2"/>
        <v>22500</v>
      </c>
    </row>
    <row r="21" spans="2:13" ht="15.6" x14ac:dyDescent="0.3">
      <c r="B21" s="6">
        <v>45065</v>
      </c>
      <c r="C21" s="7">
        <v>1428</v>
      </c>
      <c r="D21" s="16">
        <v>3</v>
      </c>
      <c r="E21" s="16" t="str">
        <v>Fri</v>
      </c>
      <c r="F21" s="7">
        <v>1365</v>
      </c>
      <c r="G21" s="82">
        <f t="shared" si="0"/>
        <v>63</v>
      </c>
      <c r="H21" s="16">
        <f t="shared" si="1"/>
        <v>63</v>
      </c>
      <c r="I21" s="84">
        <f t="shared" si="2"/>
        <v>3969</v>
      </c>
    </row>
    <row r="22" spans="2:13" ht="15.6" x14ac:dyDescent="0.3">
      <c r="B22" s="6">
        <v>45066</v>
      </c>
      <c r="C22" s="7">
        <v>1008</v>
      </c>
      <c r="D22" s="16">
        <v>3</v>
      </c>
      <c r="E22" s="16" t="str">
        <v>Sat</v>
      </c>
      <c r="F22" s="7">
        <v>998</v>
      </c>
      <c r="G22" s="82">
        <f t="shared" si="0"/>
        <v>10</v>
      </c>
      <c r="H22" s="16">
        <f t="shared" si="1"/>
        <v>10</v>
      </c>
      <c r="I22" s="84">
        <f t="shared" si="2"/>
        <v>100</v>
      </c>
    </row>
    <row r="23" spans="2:13" ht="15.6" x14ac:dyDescent="0.3">
      <c r="B23" s="6">
        <v>45067</v>
      </c>
      <c r="C23" s="7">
        <v>1082</v>
      </c>
      <c r="D23" s="16">
        <v>3</v>
      </c>
      <c r="E23" s="16" t="str">
        <v>Sun</v>
      </c>
      <c r="F23" s="7">
        <v>1052</v>
      </c>
      <c r="G23" s="82">
        <f t="shared" si="0"/>
        <v>30</v>
      </c>
      <c r="H23" s="16">
        <f t="shared" si="1"/>
        <v>30</v>
      </c>
      <c r="I23" s="84">
        <f t="shared" si="2"/>
        <v>900</v>
      </c>
    </row>
    <row r="24" spans="2:13" ht="15.6" x14ac:dyDescent="0.3">
      <c r="B24" s="6">
        <v>45068</v>
      </c>
      <c r="C24" s="7">
        <v>1921</v>
      </c>
      <c r="D24" s="16">
        <v>4</v>
      </c>
      <c r="E24" s="16" t="str">
        <v>Mon</v>
      </c>
      <c r="F24" s="7">
        <v>1905</v>
      </c>
      <c r="G24" s="82">
        <f t="shared" si="0"/>
        <v>16</v>
      </c>
      <c r="H24" s="16">
        <f t="shared" si="1"/>
        <v>16</v>
      </c>
      <c r="I24" s="84">
        <f t="shared" si="2"/>
        <v>256</v>
      </c>
    </row>
    <row r="25" spans="2:13" ht="15.6" x14ac:dyDescent="0.3">
      <c r="B25" s="6">
        <v>45069</v>
      </c>
      <c r="C25" s="7">
        <v>1780</v>
      </c>
      <c r="D25" s="16">
        <v>4</v>
      </c>
      <c r="E25" s="16" t="str">
        <v>Tue</v>
      </c>
      <c r="F25" s="7">
        <v>1767</v>
      </c>
      <c r="G25" s="82">
        <f t="shared" si="0"/>
        <v>13</v>
      </c>
      <c r="H25" s="16">
        <f t="shared" si="1"/>
        <v>13</v>
      </c>
      <c r="I25" s="84">
        <f t="shared" si="2"/>
        <v>169</v>
      </c>
    </row>
    <row r="26" spans="2:13" ht="15.6" x14ac:dyDescent="0.3">
      <c r="B26" s="6">
        <v>45070</v>
      </c>
      <c r="C26" s="7">
        <v>2071</v>
      </c>
      <c r="D26" s="16">
        <v>4</v>
      </c>
      <c r="E26" s="16" t="str">
        <v>Wed</v>
      </c>
      <c r="F26" s="7">
        <v>1911</v>
      </c>
      <c r="G26" s="82">
        <f t="shared" si="0"/>
        <v>160</v>
      </c>
      <c r="H26" s="16">
        <f t="shared" si="1"/>
        <v>160</v>
      </c>
      <c r="I26" s="84">
        <f t="shared" si="2"/>
        <v>25600</v>
      </c>
    </row>
    <row r="27" spans="2:13" ht="15.6" x14ac:dyDescent="0.3">
      <c r="B27" s="6">
        <v>45071</v>
      </c>
      <c r="C27" s="7">
        <v>1813</v>
      </c>
      <c r="D27" s="16">
        <v>4</v>
      </c>
      <c r="E27" s="16" t="str">
        <v>Thu</v>
      </c>
      <c r="F27" s="7">
        <v>2036</v>
      </c>
      <c r="G27" s="82">
        <f t="shared" si="0"/>
        <v>-223</v>
      </c>
      <c r="H27" s="16">
        <f t="shared" si="1"/>
        <v>223</v>
      </c>
      <c r="I27" s="84">
        <f t="shared" si="2"/>
        <v>49729</v>
      </c>
    </row>
    <row r="28" spans="2:13" ht="15.6" x14ac:dyDescent="0.3">
      <c r="B28" s="6">
        <v>45072</v>
      </c>
      <c r="C28" s="7">
        <v>1780</v>
      </c>
      <c r="D28" s="16">
        <v>4</v>
      </c>
      <c r="E28" s="16" t="str">
        <v>Fri</v>
      </c>
      <c r="F28" s="7">
        <v>1428</v>
      </c>
      <c r="G28" s="82">
        <f t="shared" si="0"/>
        <v>352</v>
      </c>
      <c r="H28" s="16">
        <f t="shared" si="1"/>
        <v>352</v>
      </c>
      <c r="I28" s="84">
        <f t="shared" si="2"/>
        <v>123904</v>
      </c>
    </row>
    <row r="29" spans="2:13" ht="15.6" x14ac:dyDescent="0.3">
      <c r="B29" s="6">
        <v>45073</v>
      </c>
      <c r="C29" s="7">
        <v>1236</v>
      </c>
      <c r="D29" s="16">
        <v>4</v>
      </c>
      <c r="E29" s="16" t="str">
        <v>Sat</v>
      </c>
      <c r="F29" s="7">
        <v>1008</v>
      </c>
      <c r="G29" s="82">
        <f t="shared" si="0"/>
        <v>228</v>
      </c>
      <c r="H29" s="16">
        <f t="shared" si="1"/>
        <v>228</v>
      </c>
      <c r="I29" s="84">
        <f t="shared" si="2"/>
        <v>51984</v>
      </c>
    </row>
    <row r="30" spans="2:13" ht="15.6" x14ac:dyDescent="0.3">
      <c r="B30" s="6">
        <v>45074</v>
      </c>
      <c r="C30" s="7">
        <v>1082</v>
      </c>
      <c r="D30" s="16">
        <v>4</v>
      </c>
      <c r="E30" s="16" t="str">
        <v>Sun</v>
      </c>
      <c r="F30" s="7">
        <v>1082</v>
      </c>
      <c r="G30" s="82">
        <f t="shared" si="0"/>
        <v>0</v>
      </c>
      <c r="H30" s="16">
        <f t="shared" si="1"/>
        <v>0</v>
      </c>
      <c r="I30" s="84">
        <f t="shared" si="2"/>
        <v>0</v>
      </c>
    </row>
    <row r="31" spans="2:13" ht="15.6" x14ac:dyDescent="0.3">
      <c r="B31" s="6">
        <v>45075</v>
      </c>
      <c r="C31" s="7">
        <v>1777</v>
      </c>
      <c r="D31" s="16">
        <v>5</v>
      </c>
      <c r="E31" s="16" t="str">
        <v>Mon</v>
      </c>
      <c r="F31" s="7">
        <v>1921</v>
      </c>
      <c r="G31" s="82">
        <f t="shared" si="0"/>
        <v>-144</v>
      </c>
      <c r="H31" s="16">
        <f t="shared" si="1"/>
        <v>144</v>
      </c>
      <c r="I31" s="84">
        <f t="shared" si="2"/>
        <v>20736</v>
      </c>
    </row>
    <row r="32" spans="2:13" ht="15.6" x14ac:dyDescent="0.3">
      <c r="B32" s="6">
        <v>45076</v>
      </c>
      <c r="C32" s="7">
        <v>1766</v>
      </c>
      <c r="D32" s="16">
        <v>5</v>
      </c>
      <c r="E32" s="16" t="str">
        <v>Tue</v>
      </c>
      <c r="F32" s="7">
        <v>1780</v>
      </c>
      <c r="G32" s="82">
        <f t="shared" si="0"/>
        <v>-14</v>
      </c>
      <c r="H32" s="16">
        <f t="shared" si="1"/>
        <v>14</v>
      </c>
      <c r="I32" s="84">
        <f t="shared" si="2"/>
        <v>196</v>
      </c>
    </row>
    <row r="33" spans="2:9" ht="15.6" x14ac:dyDescent="0.3">
      <c r="B33" s="6">
        <v>45077</v>
      </c>
      <c r="C33" s="7">
        <v>1884</v>
      </c>
      <c r="D33" s="16">
        <v>5</v>
      </c>
      <c r="E33" s="16" t="str">
        <v>Wed</v>
      </c>
      <c r="F33" s="7">
        <v>2071</v>
      </c>
      <c r="G33" s="82">
        <f t="shared" si="0"/>
        <v>-187</v>
      </c>
      <c r="H33" s="16">
        <f t="shared" si="1"/>
        <v>187</v>
      </c>
      <c r="I33" s="84">
        <f t="shared" si="2"/>
        <v>34969</v>
      </c>
    </row>
    <row r="34" spans="2:9" ht="15.6" x14ac:dyDescent="0.3">
      <c r="B34" s="6">
        <v>45078</v>
      </c>
      <c r="C34" s="7">
        <v>1780</v>
      </c>
      <c r="D34" s="16">
        <v>5</v>
      </c>
      <c r="E34" s="16" t="str">
        <v>Thu</v>
      </c>
      <c r="F34" s="7">
        <v>1813</v>
      </c>
      <c r="G34" s="82">
        <f t="shared" si="0"/>
        <v>-33</v>
      </c>
      <c r="H34" s="16">
        <f t="shared" si="1"/>
        <v>33</v>
      </c>
      <c r="I34" s="84">
        <f t="shared" si="2"/>
        <v>1089</v>
      </c>
    </row>
    <row r="35" spans="2:9" ht="15.6" x14ac:dyDescent="0.3">
      <c r="B35" s="6">
        <v>45079</v>
      </c>
      <c r="C35" s="7">
        <v>1572</v>
      </c>
      <c r="D35" s="16">
        <v>5</v>
      </c>
      <c r="E35" s="16" t="str">
        <v>Fri</v>
      </c>
      <c r="F35" s="7">
        <v>1780</v>
      </c>
      <c r="G35" s="82">
        <f t="shared" si="0"/>
        <v>-208</v>
      </c>
      <c r="H35" s="16">
        <f t="shared" si="1"/>
        <v>208</v>
      </c>
      <c r="I35" s="84">
        <f t="shared" si="2"/>
        <v>43264</v>
      </c>
    </row>
    <row r="36" spans="2:9" ht="15.6" x14ac:dyDescent="0.3">
      <c r="B36" s="6">
        <v>45080</v>
      </c>
      <c r="C36" s="7">
        <v>948</v>
      </c>
      <c r="D36" s="16">
        <v>5</v>
      </c>
      <c r="E36" s="16" t="str">
        <v>Sat</v>
      </c>
      <c r="F36" s="7">
        <v>1236</v>
      </c>
      <c r="G36" s="82">
        <f t="shared" si="0"/>
        <v>-288</v>
      </c>
      <c r="H36" s="16">
        <f t="shared" si="1"/>
        <v>288</v>
      </c>
      <c r="I36" s="84">
        <f t="shared" si="2"/>
        <v>82944</v>
      </c>
    </row>
    <row r="37" spans="2:9" ht="15.6" x14ac:dyDescent="0.3">
      <c r="B37" s="6">
        <v>45081</v>
      </c>
      <c r="C37" s="7">
        <v>1085</v>
      </c>
      <c r="D37" s="16">
        <v>5</v>
      </c>
      <c r="E37" s="16" t="str">
        <v>Sun</v>
      </c>
      <c r="F37" s="7">
        <v>1082</v>
      </c>
      <c r="G37" s="82">
        <f t="shared" si="0"/>
        <v>3</v>
      </c>
      <c r="H37" s="16">
        <f t="shared" si="1"/>
        <v>3</v>
      </c>
      <c r="I37" s="84">
        <f t="shared" si="2"/>
        <v>9</v>
      </c>
    </row>
    <row r="38" spans="2:9" ht="15.6" x14ac:dyDescent="0.3">
      <c r="B38" s="6">
        <v>45082</v>
      </c>
      <c r="C38" s="7">
        <v>2917</v>
      </c>
      <c r="D38" s="16">
        <v>6</v>
      </c>
      <c r="E38" s="16" t="str">
        <v>Mon</v>
      </c>
      <c r="F38" s="7">
        <v>1777</v>
      </c>
      <c r="G38" s="82">
        <f t="shared" si="0"/>
        <v>1140</v>
      </c>
      <c r="H38" s="16">
        <f t="shared" si="1"/>
        <v>1140</v>
      </c>
      <c r="I38" s="84">
        <f t="shared" si="2"/>
        <v>1299600</v>
      </c>
    </row>
    <row r="39" spans="2:9" ht="15.6" x14ac:dyDescent="0.3">
      <c r="B39" s="6">
        <v>45083</v>
      </c>
      <c r="C39" s="7">
        <v>2801</v>
      </c>
      <c r="D39" s="16">
        <v>6</v>
      </c>
      <c r="E39" s="16" t="str">
        <v>Tue</v>
      </c>
      <c r="F39" s="7">
        <v>1766</v>
      </c>
      <c r="G39" s="82">
        <f t="shared" si="0"/>
        <v>1035</v>
      </c>
      <c r="H39" s="16">
        <f t="shared" si="1"/>
        <v>1035</v>
      </c>
      <c r="I39" s="84">
        <f t="shared" si="2"/>
        <v>1071225</v>
      </c>
    </row>
    <row r="40" spans="2:9" ht="15.6" x14ac:dyDescent="0.3">
      <c r="B40" s="6">
        <v>45084</v>
      </c>
      <c r="C40" s="7">
        <v>3075</v>
      </c>
      <c r="D40" s="16">
        <v>6</v>
      </c>
      <c r="E40" s="16" t="str">
        <v>Wed</v>
      </c>
      <c r="F40" s="7">
        <v>1884</v>
      </c>
      <c r="G40" s="82">
        <f t="shared" si="0"/>
        <v>1191</v>
      </c>
      <c r="H40" s="16">
        <f t="shared" si="1"/>
        <v>1191</v>
      </c>
      <c r="I40" s="84">
        <f t="shared" si="2"/>
        <v>1418481</v>
      </c>
    </row>
    <row r="41" spans="2:9" ht="15.6" x14ac:dyDescent="0.3">
      <c r="B41" s="6">
        <v>45085</v>
      </c>
      <c r="C41" s="7">
        <v>2737</v>
      </c>
      <c r="D41" s="16">
        <v>6</v>
      </c>
      <c r="E41" s="16" t="str">
        <v>Thu</v>
      </c>
      <c r="F41" s="7">
        <v>1780</v>
      </c>
      <c r="G41" s="82">
        <f t="shared" si="0"/>
        <v>957</v>
      </c>
      <c r="H41" s="16">
        <f t="shared" si="1"/>
        <v>957</v>
      </c>
      <c r="I41" s="84">
        <f t="shared" si="2"/>
        <v>915849</v>
      </c>
    </row>
    <row r="42" spans="2:9" ht="15.6" x14ac:dyDescent="0.3">
      <c r="B42" s="6">
        <v>45086</v>
      </c>
      <c r="C42" s="7">
        <v>2329</v>
      </c>
      <c r="D42" s="16">
        <v>6</v>
      </c>
      <c r="E42" s="16" t="str">
        <v>Fri</v>
      </c>
      <c r="F42" s="7">
        <v>1572</v>
      </c>
      <c r="G42" s="82">
        <f t="shared" si="0"/>
        <v>757</v>
      </c>
      <c r="H42" s="16">
        <f t="shared" si="1"/>
        <v>757</v>
      </c>
      <c r="I42" s="84">
        <f t="shared" si="2"/>
        <v>573049</v>
      </c>
    </row>
    <row r="43" spans="2:9" ht="15.6" x14ac:dyDescent="0.3">
      <c r="B43" s="6">
        <v>45087</v>
      </c>
      <c r="C43" s="7">
        <v>1540</v>
      </c>
      <c r="D43" s="16">
        <v>6</v>
      </c>
      <c r="E43" s="16" t="str">
        <v>Sat</v>
      </c>
      <c r="F43" s="7">
        <v>948</v>
      </c>
      <c r="G43" s="82">
        <f t="shared" si="0"/>
        <v>592</v>
      </c>
      <c r="H43" s="16">
        <f t="shared" si="1"/>
        <v>592</v>
      </c>
      <c r="I43" s="84">
        <f t="shared" si="2"/>
        <v>350464</v>
      </c>
    </row>
    <row r="44" spans="2:9" ht="15.6" x14ac:dyDescent="0.3">
      <c r="B44" s="6">
        <v>45088</v>
      </c>
      <c r="C44" s="7">
        <v>1787</v>
      </c>
      <c r="D44" s="16">
        <v>6</v>
      </c>
      <c r="E44" s="16" t="str">
        <v>Sun</v>
      </c>
      <c r="F44" s="7">
        <v>1085</v>
      </c>
      <c r="G44" s="82">
        <f t="shared" si="0"/>
        <v>702</v>
      </c>
      <c r="H44" s="16">
        <f t="shared" si="1"/>
        <v>702</v>
      </c>
      <c r="I44" s="84">
        <f t="shared" si="2"/>
        <v>492804</v>
      </c>
    </row>
    <row r="45" spans="2:9" ht="15.6" x14ac:dyDescent="0.3">
      <c r="B45" s="6">
        <v>45089</v>
      </c>
      <c r="C45" s="7">
        <v>3102</v>
      </c>
      <c r="D45" s="16">
        <v>7</v>
      </c>
      <c r="E45" s="16" t="str">
        <v>Mon</v>
      </c>
      <c r="F45" s="7">
        <v>2917</v>
      </c>
      <c r="G45" s="82">
        <f t="shared" si="0"/>
        <v>185</v>
      </c>
      <c r="H45" s="16">
        <f t="shared" si="1"/>
        <v>185</v>
      </c>
      <c r="I45" s="84">
        <f t="shared" si="2"/>
        <v>34225</v>
      </c>
    </row>
    <row r="46" spans="2:9" ht="15.6" x14ac:dyDescent="0.3">
      <c r="B46" s="6">
        <v>45090</v>
      </c>
      <c r="C46" s="7">
        <v>2403</v>
      </c>
      <c r="D46" s="16">
        <v>7</v>
      </c>
      <c r="E46" s="16" t="str">
        <v>Tue</v>
      </c>
      <c r="F46" s="7">
        <v>2801</v>
      </c>
      <c r="G46" s="82">
        <f t="shared" si="0"/>
        <v>-398</v>
      </c>
      <c r="H46" s="16">
        <f t="shared" si="1"/>
        <v>398</v>
      </c>
      <c r="I46" s="84">
        <f t="shared" si="2"/>
        <v>158404</v>
      </c>
    </row>
    <row r="47" spans="2:9" ht="15.6" x14ac:dyDescent="0.3">
      <c r="B47" s="6">
        <v>45091</v>
      </c>
      <c r="C47" s="7">
        <v>2927</v>
      </c>
      <c r="D47" s="16">
        <v>7</v>
      </c>
      <c r="E47" s="16" t="str">
        <v>Wed</v>
      </c>
      <c r="F47" s="7">
        <v>3075</v>
      </c>
      <c r="G47" s="82">
        <f t="shared" si="0"/>
        <v>-148</v>
      </c>
      <c r="H47" s="16">
        <f t="shared" si="1"/>
        <v>148</v>
      </c>
      <c r="I47" s="84">
        <f t="shared" si="2"/>
        <v>21904</v>
      </c>
    </row>
    <row r="48" spans="2:9" ht="15.6" x14ac:dyDescent="0.3">
      <c r="B48" s="6">
        <v>45092</v>
      </c>
      <c r="C48" s="7">
        <v>3213</v>
      </c>
      <c r="D48" s="16">
        <v>7</v>
      </c>
      <c r="E48" s="16" t="str">
        <v>Thu</v>
      </c>
      <c r="F48" s="7">
        <v>2737</v>
      </c>
      <c r="G48" s="82">
        <f t="shared" si="0"/>
        <v>476</v>
      </c>
      <c r="H48" s="16">
        <f t="shared" si="1"/>
        <v>476</v>
      </c>
      <c r="I48" s="84">
        <f t="shared" si="2"/>
        <v>226576</v>
      </c>
    </row>
    <row r="49" spans="2:9" ht="15.6" x14ac:dyDescent="0.3">
      <c r="B49" s="6">
        <v>45093</v>
      </c>
      <c r="C49" s="7">
        <v>2194</v>
      </c>
      <c r="D49" s="16">
        <v>7</v>
      </c>
      <c r="E49" s="16" t="str">
        <v>Fri</v>
      </c>
      <c r="F49" s="7">
        <v>2329</v>
      </c>
      <c r="G49" s="82">
        <f t="shared" si="0"/>
        <v>-135</v>
      </c>
      <c r="H49" s="16">
        <f t="shared" si="1"/>
        <v>135</v>
      </c>
      <c r="I49" s="84">
        <f t="shared" si="2"/>
        <v>18225</v>
      </c>
    </row>
    <row r="50" spans="2:9" ht="15.6" x14ac:dyDescent="0.3">
      <c r="B50" s="6">
        <v>45094</v>
      </c>
      <c r="C50" s="7">
        <v>1780</v>
      </c>
      <c r="D50" s="16">
        <v>7</v>
      </c>
      <c r="E50" s="16" t="str">
        <v>Sat</v>
      </c>
      <c r="F50" s="7">
        <v>1540</v>
      </c>
      <c r="G50" s="82">
        <f t="shared" si="0"/>
        <v>240</v>
      </c>
      <c r="H50" s="16">
        <f t="shared" si="1"/>
        <v>240</v>
      </c>
      <c r="I50" s="84">
        <f t="shared" si="2"/>
        <v>57600</v>
      </c>
    </row>
    <row r="51" spans="2:9" ht="15.6" x14ac:dyDescent="0.3">
      <c r="B51" s="6">
        <v>45095</v>
      </c>
      <c r="C51" s="7">
        <v>1408</v>
      </c>
      <c r="D51" s="16">
        <v>7</v>
      </c>
      <c r="E51" s="16" t="str">
        <v>Sun</v>
      </c>
      <c r="F51" s="7">
        <v>1787</v>
      </c>
      <c r="G51" s="82">
        <f t="shared" si="0"/>
        <v>-379</v>
      </c>
      <c r="H51" s="16">
        <f t="shared" si="1"/>
        <v>379</v>
      </c>
      <c r="I51" s="84">
        <f t="shared" si="2"/>
        <v>143641</v>
      </c>
    </row>
    <row r="52" spans="2:9" ht="15.6" x14ac:dyDescent="0.3">
      <c r="B52" s="10">
        <v>45096</v>
      </c>
      <c r="C52" s="11">
        <v>2920</v>
      </c>
      <c r="D52" s="85">
        <v>8</v>
      </c>
      <c r="E52" s="85" t="str">
        <v>Mon</v>
      </c>
      <c r="F52" s="11">
        <v>3102</v>
      </c>
      <c r="G52" s="88">
        <f>C52-F52</f>
        <v>-182</v>
      </c>
      <c r="H52" s="85">
        <f t="shared" si="1"/>
        <v>182</v>
      </c>
      <c r="I52" s="89">
        <f>G52^2</f>
        <v>33124</v>
      </c>
    </row>
    <row r="53" spans="2:9" ht="15.6" x14ac:dyDescent="0.3">
      <c r="B53" s="10">
        <v>45097</v>
      </c>
      <c r="C53" s="11">
        <v>2647</v>
      </c>
      <c r="D53" s="85">
        <v>8</v>
      </c>
      <c r="E53" s="85" t="str">
        <v>Tue</v>
      </c>
      <c r="F53" s="11">
        <v>2403</v>
      </c>
      <c r="G53" s="88">
        <f t="shared" si="0"/>
        <v>244</v>
      </c>
      <c r="H53" s="85">
        <f t="shared" si="1"/>
        <v>244</v>
      </c>
      <c r="I53" s="89">
        <f t="shared" si="2"/>
        <v>59536</v>
      </c>
    </row>
    <row r="54" spans="2:9" ht="15.6" x14ac:dyDescent="0.3">
      <c r="B54" s="10">
        <v>45098</v>
      </c>
      <c r="C54" s="11">
        <v>3020</v>
      </c>
      <c r="D54" s="85">
        <v>8</v>
      </c>
      <c r="E54" s="85" t="str">
        <v>Wed</v>
      </c>
      <c r="F54" s="11">
        <v>2927</v>
      </c>
      <c r="G54" s="88">
        <f t="shared" si="0"/>
        <v>93</v>
      </c>
      <c r="H54" s="85">
        <f t="shared" si="1"/>
        <v>93</v>
      </c>
      <c r="I54" s="89">
        <f t="shared" si="2"/>
        <v>8649</v>
      </c>
    </row>
    <row r="55" spans="2:9" ht="15.6" x14ac:dyDescent="0.3">
      <c r="B55" s="10">
        <v>45099</v>
      </c>
      <c r="C55" s="11">
        <v>2338</v>
      </c>
      <c r="D55" s="85">
        <v>8</v>
      </c>
      <c r="E55" s="85" t="str">
        <v>Thu</v>
      </c>
      <c r="F55" s="11">
        <v>3213</v>
      </c>
      <c r="G55" s="88">
        <f t="shared" si="0"/>
        <v>-875</v>
      </c>
      <c r="H55" s="85">
        <f t="shared" si="1"/>
        <v>875</v>
      </c>
      <c r="I55" s="89">
        <f t="shared" si="2"/>
        <v>765625</v>
      </c>
    </row>
    <row r="56" spans="2:9" ht="15.6" x14ac:dyDescent="0.3">
      <c r="B56" s="10">
        <v>45100</v>
      </c>
      <c r="C56" s="11">
        <v>2950</v>
      </c>
      <c r="D56" s="85"/>
      <c r="E56" s="86" t="str" cm="1">
        <f t="array" ref="E56:E58">'2.3 Identify Seasonality'!G56:G58</f>
        <v>Fri</v>
      </c>
      <c r="F56" s="11">
        <v>2194</v>
      </c>
      <c r="G56" s="88">
        <f t="shared" si="0"/>
        <v>756</v>
      </c>
      <c r="H56" s="85">
        <f t="shared" si="1"/>
        <v>756</v>
      </c>
      <c r="I56" s="89">
        <f t="shared" si="2"/>
        <v>571536</v>
      </c>
    </row>
    <row r="57" spans="2:9" ht="15.6" x14ac:dyDescent="0.3">
      <c r="B57" s="10">
        <v>45101</v>
      </c>
      <c r="C57" s="11">
        <v>1601</v>
      </c>
      <c r="D57" s="85"/>
      <c r="E57" s="85" t="str">
        <v>Sat</v>
      </c>
      <c r="F57" s="11">
        <v>1780</v>
      </c>
      <c r="G57" s="88">
        <f t="shared" si="0"/>
        <v>-179</v>
      </c>
      <c r="H57" s="85">
        <f t="shared" si="1"/>
        <v>179</v>
      </c>
      <c r="I57" s="89">
        <f t="shared" si="2"/>
        <v>32041</v>
      </c>
    </row>
    <row r="58" spans="2:9" ht="15.6" x14ac:dyDescent="0.3">
      <c r="B58" s="10">
        <v>45102</v>
      </c>
      <c r="C58" s="11">
        <v>1615</v>
      </c>
      <c r="D58" s="85"/>
      <c r="E58" s="85" t="str">
        <v>Sun</v>
      </c>
      <c r="F58" s="11">
        <v>1408</v>
      </c>
      <c r="G58" s="88">
        <f t="shared" si="0"/>
        <v>207</v>
      </c>
      <c r="H58" s="85">
        <f t="shared" si="1"/>
        <v>207</v>
      </c>
      <c r="I58" s="89">
        <f t="shared" si="2"/>
        <v>42849</v>
      </c>
    </row>
    <row r="59" spans="2:9" ht="15.6" x14ac:dyDescent="0.3">
      <c r="F59" s="90"/>
    </row>
    <row r="60" spans="2:9" ht="15.6" x14ac:dyDescent="0.3">
      <c r="F60" s="90"/>
    </row>
    <row r="61" spans="2:9" ht="15.6" x14ac:dyDescent="0.3">
      <c r="F61" s="90"/>
    </row>
    <row r="62" spans="2:9" ht="15.6" x14ac:dyDescent="0.3">
      <c r="F62" s="90"/>
    </row>
    <row r="63" spans="2:9" ht="15.6" x14ac:dyDescent="0.3">
      <c r="F63" s="90"/>
    </row>
    <row r="64" spans="2:9" ht="15.6" x14ac:dyDescent="0.3">
      <c r="F64" s="9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B67A-1B8F-4E56-9EB9-191731476F83}">
  <dimension ref="B2:M65"/>
  <sheetViews>
    <sheetView workbookViewId="0">
      <selection activeCell="I52" sqref="I52"/>
    </sheetView>
  </sheetViews>
  <sheetFormatPr defaultRowHeight="14.4" x14ac:dyDescent="0.3"/>
  <cols>
    <col min="3" max="3" width="15.33203125" customWidth="1"/>
    <col min="5" max="5" width="7.21875" customWidth="1"/>
    <col min="6" max="6" width="24.33203125" customWidth="1"/>
    <col min="8" max="8" width="14.44140625" customWidth="1"/>
    <col min="9" max="9" width="13.77734375" customWidth="1"/>
    <col min="11" max="11" width="2.109375" customWidth="1"/>
    <col min="12" max="12" width="18.88671875" customWidth="1"/>
  </cols>
  <sheetData>
    <row r="2" spans="2:13" ht="15.6" x14ac:dyDescent="0.3">
      <c r="B2" s="72" t="s">
        <v>1</v>
      </c>
      <c r="C2" s="73" t="s">
        <v>2</v>
      </c>
      <c r="D2" s="80" t="s">
        <v>9</v>
      </c>
      <c r="E2" s="80" t="s">
        <v>10</v>
      </c>
      <c r="F2" s="80" t="s">
        <v>35</v>
      </c>
      <c r="G2" s="80" t="s">
        <v>26</v>
      </c>
      <c r="H2" s="80" t="s">
        <v>27</v>
      </c>
      <c r="I2" s="80" t="s">
        <v>28</v>
      </c>
    </row>
    <row r="3" spans="2:13" ht="15.6" x14ac:dyDescent="0.3">
      <c r="B3" s="6">
        <v>45047</v>
      </c>
      <c r="C3" s="7">
        <v>1576</v>
      </c>
      <c r="D3" s="16"/>
      <c r="E3" s="16"/>
      <c r="F3" s="16"/>
      <c r="G3" s="16"/>
      <c r="H3" s="16"/>
      <c r="I3" s="16"/>
    </row>
    <row r="4" spans="2:13" ht="15.6" x14ac:dyDescent="0.3">
      <c r="B4" s="6">
        <v>45048</v>
      </c>
      <c r="C4" s="7">
        <v>2299</v>
      </c>
      <c r="D4" s="16"/>
      <c r="E4" s="16"/>
      <c r="F4" s="16"/>
      <c r="G4" s="16"/>
      <c r="H4" s="16"/>
      <c r="I4" s="16"/>
    </row>
    <row r="5" spans="2:13" ht="15.6" x14ac:dyDescent="0.3">
      <c r="B5" s="6">
        <v>45049</v>
      </c>
      <c r="C5" s="7">
        <v>1878</v>
      </c>
      <c r="D5" s="16"/>
      <c r="E5" s="16"/>
      <c r="F5" s="16"/>
      <c r="G5" s="16"/>
      <c r="H5" s="16"/>
      <c r="I5" s="16"/>
    </row>
    <row r="6" spans="2:13" ht="15.6" x14ac:dyDescent="0.3">
      <c r="B6" s="6">
        <v>45050</v>
      </c>
      <c r="C6" s="7">
        <v>1628</v>
      </c>
      <c r="D6" s="83" cm="1">
        <f t="array" ref="D6:E55">'2.3 Identify Seasonality'!F6:G55</f>
        <v>1</v>
      </c>
      <c r="E6" s="16" t="str">
        <v>Thu</v>
      </c>
      <c r="F6" s="16"/>
      <c r="G6" s="16"/>
      <c r="H6" s="16"/>
      <c r="I6" s="16"/>
    </row>
    <row r="7" spans="2:13" ht="15.6" x14ac:dyDescent="0.3">
      <c r="B7" s="6">
        <v>45051</v>
      </c>
      <c r="C7" s="7">
        <v>1555</v>
      </c>
      <c r="D7" s="16">
        <v>1</v>
      </c>
      <c r="E7" s="16" t="str">
        <v>Fri</v>
      </c>
      <c r="F7" s="16"/>
      <c r="G7" s="16"/>
      <c r="H7" s="16"/>
      <c r="I7" s="16"/>
    </row>
    <row r="8" spans="2:13" ht="15.6" x14ac:dyDescent="0.3">
      <c r="B8" s="6">
        <v>45052</v>
      </c>
      <c r="C8" s="7">
        <v>1240</v>
      </c>
      <c r="D8" s="16">
        <v>1</v>
      </c>
      <c r="E8" s="16" t="str">
        <v>Sat</v>
      </c>
      <c r="F8" s="16"/>
      <c r="G8" s="16"/>
      <c r="H8" s="16"/>
      <c r="I8" s="16"/>
    </row>
    <row r="9" spans="2:13" ht="15.6" x14ac:dyDescent="0.3">
      <c r="B9" s="6">
        <v>45053</v>
      </c>
      <c r="C9" s="7">
        <v>864</v>
      </c>
      <c r="D9" s="16">
        <v>1</v>
      </c>
      <c r="E9" s="16" t="str">
        <v>Sun</v>
      </c>
      <c r="F9" s="16"/>
      <c r="G9" s="16"/>
      <c r="H9" s="16"/>
      <c r="I9" s="16"/>
      <c r="L9" s="39" t="s">
        <v>29</v>
      </c>
      <c r="M9" s="14"/>
    </row>
    <row r="10" spans="2:13" ht="15.6" x14ac:dyDescent="0.3">
      <c r="B10" s="6">
        <v>45054</v>
      </c>
      <c r="C10" s="7">
        <v>1882</v>
      </c>
      <c r="D10" s="16">
        <v>2</v>
      </c>
      <c r="E10" s="16" t="str">
        <v>Mon</v>
      </c>
      <c r="F10" s="7">
        <f>C3</f>
        <v>1576</v>
      </c>
      <c r="G10" s="84">
        <f>C10-F10</f>
        <v>306</v>
      </c>
      <c r="H10" s="16">
        <f>ABS(G10)</f>
        <v>306</v>
      </c>
      <c r="I10" s="84">
        <f>G10^2</f>
        <v>93636</v>
      </c>
      <c r="L10" s="39"/>
      <c r="M10" s="14"/>
    </row>
    <row r="11" spans="2:13" ht="15.6" x14ac:dyDescent="0.3">
      <c r="B11" s="6">
        <v>45055</v>
      </c>
      <c r="C11" s="7">
        <v>2306</v>
      </c>
      <c r="D11" s="16">
        <v>2</v>
      </c>
      <c r="E11" s="16" t="str">
        <v>Tue</v>
      </c>
      <c r="F11" s="7">
        <f t="shared" ref="F10:F16" si="0">C4</f>
        <v>2299</v>
      </c>
      <c r="G11" s="84">
        <f t="shared" ref="G11:G58" si="1">C11-F11</f>
        <v>7</v>
      </c>
      <c r="H11" s="16">
        <f t="shared" ref="H11:H58" si="2">ABS(G11)</f>
        <v>7</v>
      </c>
      <c r="I11" s="84">
        <f t="shared" ref="I11:I58" si="3">G11^2</f>
        <v>49</v>
      </c>
      <c r="L11" s="39" t="s">
        <v>30</v>
      </c>
      <c r="M11" s="71">
        <f>AVERAGE(G10:G51)</f>
        <v>262.35595238095237</v>
      </c>
    </row>
    <row r="12" spans="2:13" ht="15.6" x14ac:dyDescent="0.3">
      <c r="B12" s="6">
        <v>45056</v>
      </c>
      <c r="C12" s="7">
        <v>1988</v>
      </c>
      <c r="D12" s="16">
        <v>2</v>
      </c>
      <c r="E12" s="16" t="str">
        <v>Wed</v>
      </c>
      <c r="F12" s="7">
        <f t="shared" si="0"/>
        <v>1878</v>
      </c>
      <c r="G12" s="84">
        <f t="shared" si="1"/>
        <v>110</v>
      </c>
      <c r="H12" s="16">
        <f t="shared" si="2"/>
        <v>110</v>
      </c>
      <c r="I12" s="84">
        <f t="shared" si="3"/>
        <v>12100</v>
      </c>
      <c r="L12" s="39" t="s">
        <v>36</v>
      </c>
      <c r="M12" s="14">
        <f>AVERAGE(H10:H51)</f>
        <v>364.29642857142858</v>
      </c>
    </row>
    <row r="13" spans="2:13" ht="15.6" x14ac:dyDescent="0.3">
      <c r="B13" s="6">
        <v>45057</v>
      </c>
      <c r="C13" s="7">
        <v>1886</v>
      </c>
      <c r="D13" s="16">
        <v>2</v>
      </c>
      <c r="E13" s="16" t="str">
        <v>Thu</v>
      </c>
      <c r="F13" s="7">
        <f t="shared" si="0"/>
        <v>1628</v>
      </c>
      <c r="G13" s="84">
        <f t="shared" si="1"/>
        <v>258</v>
      </c>
      <c r="H13" s="16">
        <f t="shared" si="2"/>
        <v>258</v>
      </c>
      <c r="I13" s="84">
        <f t="shared" si="3"/>
        <v>66564</v>
      </c>
      <c r="L13" s="39" t="s">
        <v>32</v>
      </c>
      <c r="M13" s="71">
        <f>AVERAGE(I10:I51)</f>
        <v>254767.95289021172</v>
      </c>
    </row>
    <row r="14" spans="2:13" ht="15.6" x14ac:dyDescent="0.3">
      <c r="B14" s="6">
        <v>45058</v>
      </c>
      <c r="C14" s="7">
        <v>1365</v>
      </c>
      <c r="D14" s="16">
        <v>2</v>
      </c>
      <c r="E14" s="16" t="str">
        <v>Fri</v>
      </c>
      <c r="F14" s="7">
        <f t="shared" si="0"/>
        <v>1555</v>
      </c>
      <c r="G14" s="84">
        <f t="shared" si="1"/>
        <v>-190</v>
      </c>
      <c r="H14" s="16">
        <f t="shared" si="2"/>
        <v>190</v>
      </c>
      <c r="I14" s="84">
        <f t="shared" si="3"/>
        <v>36100</v>
      </c>
      <c r="L14" s="39" t="s">
        <v>33</v>
      </c>
      <c r="M14" s="14">
        <f>SQRT(M13)</f>
        <v>504.74543374874798</v>
      </c>
    </row>
    <row r="15" spans="2:13" ht="15.6" x14ac:dyDescent="0.3">
      <c r="B15" s="6">
        <v>45059</v>
      </c>
      <c r="C15" s="7">
        <v>998</v>
      </c>
      <c r="D15" s="16">
        <v>2</v>
      </c>
      <c r="E15" s="16" t="str">
        <v>Sat</v>
      </c>
      <c r="F15" s="7">
        <f t="shared" si="0"/>
        <v>1240</v>
      </c>
      <c r="G15" s="84">
        <f t="shared" si="1"/>
        <v>-242</v>
      </c>
      <c r="H15" s="16">
        <f t="shared" si="2"/>
        <v>242</v>
      </c>
      <c r="I15" s="84">
        <f t="shared" si="3"/>
        <v>58564</v>
      </c>
    </row>
    <row r="16" spans="2:13" ht="15.6" x14ac:dyDescent="0.3">
      <c r="B16" s="6">
        <v>45060</v>
      </c>
      <c r="C16" s="7">
        <v>1052</v>
      </c>
      <c r="D16" s="16">
        <v>2</v>
      </c>
      <c r="E16" s="16" t="str">
        <v>Sun</v>
      </c>
      <c r="F16" s="7">
        <f t="shared" si="0"/>
        <v>864</v>
      </c>
      <c r="G16" s="84">
        <f t="shared" si="1"/>
        <v>188</v>
      </c>
      <c r="H16" s="16">
        <f t="shared" si="2"/>
        <v>188</v>
      </c>
      <c r="I16" s="84">
        <f t="shared" si="3"/>
        <v>35344</v>
      </c>
    </row>
    <row r="17" spans="2:13" ht="15.6" x14ac:dyDescent="0.3">
      <c r="B17" s="6">
        <v>45061</v>
      </c>
      <c r="C17" s="7">
        <v>1905</v>
      </c>
      <c r="D17" s="16">
        <v>3</v>
      </c>
      <c r="E17" s="16" t="str">
        <v>Mon</v>
      </c>
      <c r="F17" s="7">
        <f t="shared" ref="F17:F23" si="4">AVERAGE(C3,C10)</f>
        <v>1729</v>
      </c>
      <c r="G17" s="84">
        <f t="shared" si="1"/>
        <v>176</v>
      </c>
      <c r="H17" s="16">
        <f t="shared" si="2"/>
        <v>176</v>
      </c>
      <c r="I17" s="84">
        <f t="shared" si="3"/>
        <v>30976</v>
      </c>
      <c r="L17" s="39" t="s">
        <v>34</v>
      </c>
      <c r="M17" s="14"/>
    </row>
    <row r="18" spans="2:13" ht="15.6" x14ac:dyDescent="0.3">
      <c r="B18" s="6">
        <v>45062</v>
      </c>
      <c r="C18" s="7">
        <v>1767</v>
      </c>
      <c r="D18" s="16">
        <v>3</v>
      </c>
      <c r="E18" s="16" t="str">
        <v>Tue</v>
      </c>
      <c r="F18" s="7">
        <f t="shared" si="4"/>
        <v>2302.5</v>
      </c>
      <c r="G18" s="84">
        <f t="shared" si="1"/>
        <v>-535.5</v>
      </c>
      <c r="H18" s="16">
        <f t="shared" si="2"/>
        <v>535.5</v>
      </c>
      <c r="I18" s="84">
        <f t="shared" si="3"/>
        <v>286760.25</v>
      </c>
      <c r="L18" s="39"/>
      <c r="M18" s="14"/>
    </row>
    <row r="19" spans="2:13" ht="15.6" x14ac:dyDescent="0.3">
      <c r="B19" s="6">
        <v>45063</v>
      </c>
      <c r="C19" s="7">
        <v>1911</v>
      </c>
      <c r="D19" s="16">
        <v>3</v>
      </c>
      <c r="E19" s="16" t="str">
        <v>Wed</v>
      </c>
      <c r="F19" s="7">
        <f t="shared" si="4"/>
        <v>1933</v>
      </c>
      <c r="G19" s="84">
        <f t="shared" si="1"/>
        <v>-22</v>
      </c>
      <c r="H19" s="16">
        <f t="shared" si="2"/>
        <v>22</v>
      </c>
      <c r="I19" s="84">
        <f t="shared" si="3"/>
        <v>484</v>
      </c>
      <c r="L19" s="39" t="s">
        <v>30</v>
      </c>
      <c r="M19" s="71">
        <f>AVERAGE(G52:G58)</f>
        <v>597.44897959183675</v>
      </c>
    </row>
    <row r="20" spans="2:13" ht="15.6" x14ac:dyDescent="0.3">
      <c r="B20" s="6">
        <v>45064</v>
      </c>
      <c r="C20" s="7">
        <v>2036</v>
      </c>
      <c r="D20" s="16">
        <v>3</v>
      </c>
      <c r="E20" s="16" t="str">
        <v>Thu</v>
      </c>
      <c r="F20" s="7">
        <f t="shared" si="4"/>
        <v>1757</v>
      </c>
      <c r="G20" s="84">
        <f t="shared" si="1"/>
        <v>279</v>
      </c>
      <c r="H20" s="16">
        <f t="shared" si="2"/>
        <v>279</v>
      </c>
      <c r="I20" s="84">
        <f t="shared" si="3"/>
        <v>77841</v>
      </c>
      <c r="L20" s="39" t="s">
        <v>36</v>
      </c>
      <c r="M20" s="14">
        <f>AVERAGE(H52:H58)</f>
        <v>597.44897959183675</v>
      </c>
    </row>
    <row r="21" spans="2:13" ht="15.6" x14ac:dyDescent="0.3">
      <c r="B21" s="6">
        <v>45065</v>
      </c>
      <c r="C21" s="7">
        <v>1428</v>
      </c>
      <c r="D21" s="16">
        <v>3</v>
      </c>
      <c r="E21" s="16" t="str">
        <v>Fri</v>
      </c>
      <c r="F21" s="7">
        <f t="shared" si="4"/>
        <v>1460</v>
      </c>
      <c r="G21" s="84">
        <f t="shared" si="1"/>
        <v>-32</v>
      </c>
      <c r="H21" s="16">
        <f t="shared" si="2"/>
        <v>32</v>
      </c>
      <c r="I21" s="84">
        <f t="shared" si="3"/>
        <v>1024</v>
      </c>
      <c r="L21" s="39" t="s">
        <v>32</v>
      </c>
      <c r="M21" s="71">
        <f>AVERAGE(I52:I58)</f>
        <v>457454.27696793008</v>
      </c>
    </row>
    <row r="22" spans="2:13" ht="15.6" x14ac:dyDescent="0.3">
      <c r="B22" s="6">
        <v>45066</v>
      </c>
      <c r="C22" s="7">
        <v>1008</v>
      </c>
      <c r="D22" s="16">
        <v>3</v>
      </c>
      <c r="E22" s="16" t="str">
        <v>Sat</v>
      </c>
      <c r="F22" s="7">
        <f t="shared" si="4"/>
        <v>1119</v>
      </c>
      <c r="G22" s="84">
        <f t="shared" si="1"/>
        <v>-111</v>
      </c>
      <c r="H22" s="16">
        <f t="shared" si="2"/>
        <v>111</v>
      </c>
      <c r="I22" s="84">
        <f t="shared" si="3"/>
        <v>12321</v>
      </c>
      <c r="L22" s="39" t="s">
        <v>33</v>
      </c>
      <c r="M22" s="14">
        <f>SQRT(M21)</f>
        <v>676.35366264102549</v>
      </c>
    </row>
    <row r="23" spans="2:13" ht="15.6" x14ac:dyDescent="0.3">
      <c r="B23" s="6">
        <v>45067</v>
      </c>
      <c r="C23" s="7">
        <v>1082</v>
      </c>
      <c r="D23" s="16">
        <v>3</v>
      </c>
      <c r="E23" s="16" t="str">
        <v>Sun</v>
      </c>
      <c r="F23" s="7">
        <f t="shared" si="4"/>
        <v>958</v>
      </c>
      <c r="G23" s="84">
        <f t="shared" si="1"/>
        <v>124</v>
      </c>
      <c r="H23" s="16">
        <f t="shared" si="2"/>
        <v>124</v>
      </c>
      <c r="I23" s="84">
        <f t="shared" si="3"/>
        <v>15376</v>
      </c>
    </row>
    <row r="24" spans="2:13" ht="15.6" x14ac:dyDescent="0.3">
      <c r="B24" s="6">
        <v>45068</v>
      </c>
      <c r="C24" s="7">
        <v>1921</v>
      </c>
      <c r="D24" s="16">
        <v>4</v>
      </c>
      <c r="E24" s="16" t="str">
        <v>Mon</v>
      </c>
      <c r="F24" s="7">
        <f t="shared" ref="F24:F30" si="5">AVERAGE(C3,C10,C17)</f>
        <v>1787.6666666666667</v>
      </c>
      <c r="G24" s="84">
        <f t="shared" si="1"/>
        <v>133.33333333333326</v>
      </c>
      <c r="H24" s="16">
        <f t="shared" si="2"/>
        <v>133.33333333333326</v>
      </c>
      <c r="I24" s="84">
        <f t="shared" si="3"/>
        <v>17777.777777777759</v>
      </c>
    </row>
    <row r="25" spans="2:13" ht="15.6" x14ac:dyDescent="0.3">
      <c r="B25" s="6">
        <v>45069</v>
      </c>
      <c r="C25" s="7">
        <v>1780</v>
      </c>
      <c r="D25" s="16">
        <v>4</v>
      </c>
      <c r="E25" s="16" t="str">
        <v>Tue</v>
      </c>
      <c r="F25" s="7">
        <f t="shared" si="5"/>
        <v>2124</v>
      </c>
      <c r="G25" s="84">
        <f t="shared" si="1"/>
        <v>-344</v>
      </c>
      <c r="H25" s="16">
        <f t="shared" si="2"/>
        <v>344</v>
      </c>
      <c r="I25" s="84">
        <f t="shared" si="3"/>
        <v>118336</v>
      </c>
    </row>
    <row r="26" spans="2:13" ht="15.6" x14ac:dyDescent="0.3">
      <c r="B26" s="6">
        <v>45070</v>
      </c>
      <c r="C26" s="7">
        <v>2071</v>
      </c>
      <c r="D26" s="16">
        <v>4</v>
      </c>
      <c r="E26" s="16" t="str">
        <v>Wed</v>
      </c>
      <c r="F26" s="7">
        <f t="shared" si="5"/>
        <v>1925.6666666666667</v>
      </c>
      <c r="G26" s="84">
        <f t="shared" si="1"/>
        <v>145.33333333333326</v>
      </c>
      <c r="H26" s="16">
        <f t="shared" si="2"/>
        <v>145.33333333333326</v>
      </c>
      <c r="I26" s="84">
        <f t="shared" si="3"/>
        <v>21121.777777777756</v>
      </c>
    </row>
    <row r="27" spans="2:13" ht="15.6" x14ac:dyDescent="0.3">
      <c r="B27" s="6">
        <v>45071</v>
      </c>
      <c r="C27" s="7">
        <v>1813</v>
      </c>
      <c r="D27" s="16">
        <v>4</v>
      </c>
      <c r="E27" s="16" t="str">
        <v>Thu</v>
      </c>
      <c r="F27" s="7">
        <f t="shared" si="5"/>
        <v>1850</v>
      </c>
      <c r="G27" s="84">
        <f t="shared" si="1"/>
        <v>-37</v>
      </c>
      <c r="H27" s="16">
        <f t="shared" si="2"/>
        <v>37</v>
      </c>
      <c r="I27" s="84">
        <f t="shared" si="3"/>
        <v>1369</v>
      </c>
    </row>
    <row r="28" spans="2:13" ht="15.6" x14ac:dyDescent="0.3">
      <c r="B28" s="6">
        <v>45072</v>
      </c>
      <c r="C28" s="7">
        <v>1780</v>
      </c>
      <c r="D28" s="16">
        <v>4</v>
      </c>
      <c r="E28" s="16" t="str">
        <v>Fri</v>
      </c>
      <c r="F28" s="7">
        <f t="shared" si="5"/>
        <v>1449.3333333333333</v>
      </c>
      <c r="G28" s="84">
        <f t="shared" si="1"/>
        <v>330.66666666666674</v>
      </c>
      <c r="H28" s="16">
        <f t="shared" si="2"/>
        <v>330.66666666666674</v>
      </c>
      <c r="I28" s="84">
        <f t="shared" si="3"/>
        <v>109340.4444444445</v>
      </c>
    </row>
    <row r="29" spans="2:13" ht="15.6" x14ac:dyDescent="0.3">
      <c r="B29" s="6">
        <v>45073</v>
      </c>
      <c r="C29" s="7">
        <v>1236</v>
      </c>
      <c r="D29" s="16">
        <v>4</v>
      </c>
      <c r="E29" s="16" t="str">
        <v>Sat</v>
      </c>
      <c r="F29" s="7">
        <f t="shared" si="5"/>
        <v>1082</v>
      </c>
      <c r="G29" s="84">
        <f t="shared" si="1"/>
        <v>154</v>
      </c>
      <c r="H29" s="16">
        <f t="shared" si="2"/>
        <v>154</v>
      </c>
      <c r="I29" s="84">
        <f t="shared" si="3"/>
        <v>23716</v>
      </c>
    </row>
    <row r="30" spans="2:13" ht="15.6" x14ac:dyDescent="0.3">
      <c r="B30" s="6">
        <v>45074</v>
      </c>
      <c r="C30" s="7">
        <v>1082</v>
      </c>
      <c r="D30" s="16">
        <v>4</v>
      </c>
      <c r="E30" s="16" t="str">
        <v>Sun</v>
      </c>
      <c r="F30" s="7">
        <f t="shared" si="5"/>
        <v>999.33333333333337</v>
      </c>
      <c r="G30" s="84">
        <f t="shared" si="1"/>
        <v>82.666666666666629</v>
      </c>
      <c r="H30" s="16">
        <f t="shared" si="2"/>
        <v>82.666666666666629</v>
      </c>
      <c r="I30" s="84">
        <f t="shared" si="3"/>
        <v>6833.7777777777719</v>
      </c>
    </row>
    <row r="31" spans="2:13" ht="15.6" x14ac:dyDescent="0.3">
      <c r="B31" s="6">
        <v>45075</v>
      </c>
      <c r="C31" s="7">
        <v>1777</v>
      </c>
      <c r="D31" s="16">
        <v>5</v>
      </c>
      <c r="E31" s="16" t="str">
        <v>Mon</v>
      </c>
      <c r="F31" s="7">
        <f t="shared" ref="F31:F37" si="6">AVERAGE(C3,C10,C17,C24)</f>
        <v>1821</v>
      </c>
      <c r="G31" s="84">
        <f t="shared" si="1"/>
        <v>-44</v>
      </c>
      <c r="H31" s="16">
        <f t="shared" si="2"/>
        <v>44</v>
      </c>
      <c r="I31" s="84">
        <f t="shared" si="3"/>
        <v>1936</v>
      </c>
    </row>
    <row r="32" spans="2:13" ht="15.6" x14ac:dyDescent="0.3">
      <c r="B32" s="6">
        <v>45076</v>
      </c>
      <c r="C32" s="7">
        <v>1766</v>
      </c>
      <c r="D32" s="16">
        <v>5</v>
      </c>
      <c r="E32" s="16" t="str">
        <v>Tue</v>
      </c>
      <c r="F32" s="7">
        <f t="shared" si="6"/>
        <v>2038</v>
      </c>
      <c r="G32" s="84">
        <f t="shared" si="1"/>
        <v>-272</v>
      </c>
      <c r="H32" s="16">
        <f t="shared" si="2"/>
        <v>272</v>
      </c>
      <c r="I32" s="84">
        <f t="shared" si="3"/>
        <v>73984</v>
      </c>
    </row>
    <row r="33" spans="2:9" ht="15.6" x14ac:dyDescent="0.3">
      <c r="B33" s="6">
        <v>45077</v>
      </c>
      <c r="C33" s="7">
        <v>1884</v>
      </c>
      <c r="D33" s="16">
        <v>5</v>
      </c>
      <c r="E33" s="16" t="str">
        <v>Wed</v>
      </c>
      <c r="F33" s="7">
        <f t="shared" si="6"/>
        <v>1962</v>
      </c>
      <c r="G33" s="84">
        <f t="shared" si="1"/>
        <v>-78</v>
      </c>
      <c r="H33" s="16">
        <f t="shared" si="2"/>
        <v>78</v>
      </c>
      <c r="I33" s="84">
        <f t="shared" si="3"/>
        <v>6084</v>
      </c>
    </row>
    <row r="34" spans="2:9" ht="15.6" x14ac:dyDescent="0.3">
      <c r="B34" s="6">
        <v>45078</v>
      </c>
      <c r="C34" s="7">
        <v>1780</v>
      </c>
      <c r="D34" s="16">
        <v>5</v>
      </c>
      <c r="E34" s="16" t="str">
        <v>Thu</v>
      </c>
      <c r="F34" s="7">
        <f t="shared" si="6"/>
        <v>1840.75</v>
      </c>
      <c r="G34" s="84">
        <f t="shared" si="1"/>
        <v>-60.75</v>
      </c>
      <c r="H34" s="16">
        <f t="shared" si="2"/>
        <v>60.75</v>
      </c>
      <c r="I34" s="84">
        <f t="shared" si="3"/>
        <v>3690.5625</v>
      </c>
    </row>
    <row r="35" spans="2:9" ht="15.6" x14ac:dyDescent="0.3">
      <c r="B35" s="6">
        <v>45079</v>
      </c>
      <c r="C35" s="7">
        <v>1572</v>
      </c>
      <c r="D35" s="16">
        <v>5</v>
      </c>
      <c r="E35" s="16" t="str">
        <v>Fri</v>
      </c>
      <c r="F35" s="7">
        <f t="shared" si="6"/>
        <v>1532</v>
      </c>
      <c r="G35" s="84">
        <f t="shared" si="1"/>
        <v>40</v>
      </c>
      <c r="H35" s="16">
        <f t="shared" si="2"/>
        <v>40</v>
      </c>
      <c r="I35" s="84">
        <f t="shared" si="3"/>
        <v>1600</v>
      </c>
    </row>
    <row r="36" spans="2:9" ht="15.6" x14ac:dyDescent="0.3">
      <c r="B36" s="6">
        <v>45080</v>
      </c>
      <c r="C36" s="7">
        <v>948</v>
      </c>
      <c r="D36" s="16">
        <v>5</v>
      </c>
      <c r="E36" s="16" t="str">
        <v>Sat</v>
      </c>
      <c r="F36" s="7">
        <f t="shared" si="6"/>
        <v>1120.5</v>
      </c>
      <c r="G36" s="84">
        <f t="shared" si="1"/>
        <v>-172.5</v>
      </c>
      <c r="H36" s="16">
        <f t="shared" si="2"/>
        <v>172.5</v>
      </c>
      <c r="I36" s="84">
        <f t="shared" si="3"/>
        <v>29756.25</v>
      </c>
    </row>
    <row r="37" spans="2:9" ht="15.6" x14ac:dyDescent="0.3">
      <c r="B37" s="6">
        <v>45081</v>
      </c>
      <c r="C37" s="7">
        <v>1085</v>
      </c>
      <c r="D37" s="16">
        <v>5</v>
      </c>
      <c r="E37" s="16" t="str">
        <v>Sun</v>
      </c>
      <c r="F37" s="7">
        <f t="shared" si="6"/>
        <v>1020</v>
      </c>
      <c r="G37" s="84">
        <f t="shared" si="1"/>
        <v>65</v>
      </c>
      <c r="H37" s="16">
        <f t="shared" si="2"/>
        <v>65</v>
      </c>
      <c r="I37" s="84">
        <f t="shared" si="3"/>
        <v>4225</v>
      </c>
    </row>
    <row r="38" spans="2:9" ht="15.6" x14ac:dyDescent="0.3">
      <c r="B38" s="6">
        <v>45082</v>
      </c>
      <c r="C38" s="7">
        <v>2917</v>
      </c>
      <c r="D38" s="16">
        <v>6</v>
      </c>
      <c r="E38" s="16" t="str">
        <v>Mon</v>
      </c>
      <c r="F38" s="7">
        <f t="shared" ref="F38:F44" si="7">AVERAGE(C3,C10,C17,C24,C31)</f>
        <v>1812.2</v>
      </c>
      <c r="G38" s="84">
        <f t="shared" si="1"/>
        <v>1104.8</v>
      </c>
      <c r="H38" s="16">
        <f t="shared" si="2"/>
        <v>1104.8</v>
      </c>
      <c r="I38" s="84">
        <f t="shared" si="3"/>
        <v>1220583.0399999998</v>
      </c>
    </row>
    <row r="39" spans="2:9" ht="15.6" x14ac:dyDescent="0.3">
      <c r="B39" s="6">
        <v>45083</v>
      </c>
      <c r="C39" s="7">
        <v>2801</v>
      </c>
      <c r="D39" s="16">
        <v>6</v>
      </c>
      <c r="E39" s="16" t="str">
        <v>Tue</v>
      </c>
      <c r="F39" s="7">
        <f t="shared" si="7"/>
        <v>1983.6</v>
      </c>
      <c r="G39" s="84">
        <f t="shared" si="1"/>
        <v>817.40000000000009</v>
      </c>
      <c r="H39" s="16">
        <f t="shared" si="2"/>
        <v>817.40000000000009</v>
      </c>
      <c r="I39" s="84">
        <f t="shared" si="3"/>
        <v>668142.76000000013</v>
      </c>
    </row>
    <row r="40" spans="2:9" ht="15.6" x14ac:dyDescent="0.3">
      <c r="B40" s="6">
        <v>45084</v>
      </c>
      <c r="C40" s="7">
        <v>3075</v>
      </c>
      <c r="D40" s="16">
        <v>6</v>
      </c>
      <c r="E40" s="16" t="str">
        <v>Wed</v>
      </c>
      <c r="F40" s="7">
        <f t="shared" si="7"/>
        <v>1946.4</v>
      </c>
      <c r="G40" s="84">
        <f t="shared" si="1"/>
        <v>1128.5999999999999</v>
      </c>
      <c r="H40" s="16">
        <f t="shared" si="2"/>
        <v>1128.5999999999999</v>
      </c>
      <c r="I40" s="84">
        <f t="shared" si="3"/>
        <v>1273737.9599999997</v>
      </c>
    </row>
    <row r="41" spans="2:9" ht="15.6" x14ac:dyDescent="0.3">
      <c r="B41" s="6">
        <v>45085</v>
      </c>
      <c r="C41" s="7">
        <v>2737</v>
      </c>
      <c r="D41" s="16">
        <v>6</v>
      </c>
      <c r="E41" s="16" t="str">
        <v>Thu</v>
      </c>
      <c r="F41" s="7">
        <f t="shared" si="7"/>
        <v>1828.6</v>
      </c>
      <c r="G41" s="84">
        <f t="shared" si="1"/>
        <v>908.40000000000009</v>
      </c>
      <c r="H41" s="16">
        <f t="shared" si="2"/>
        <v>908.40000000000009</v>
      </c>
      <c r="I41" s="84">
        <f t="shared" si="3"/>
        <v>825190.56000000017</v>
      </c>
    </row>
    <row r="42" spans="2:9" ht="15.6" x14ac:dyDescent="0.3">
      <c r="B42" s="6">
        <v>45086</v>
      </c>
      <c r="C42" s="7">
        <v>2329</v>
      </c>
      <c r="D42" s="16">
        <v>6</v>
      </c>
      <c r="E42" s="16" t="str">
        <v>Fri</v>
      </c>
      <c r="F42" s="7">
        <f t="shared" si="7"/>
        <v>1540</v>
      </c>
      <c r="G42" s="84">
        <f t="shared" si="1"/>
        <v>789</v>
      </c>
      <c r="H42" s="16">
        <f t="shared" si="2"/>
        <v>789</v>
      </c>
      <c r="I42" s="84">
        <f t="shared" si="3"/>
        <v>622521</v>
      </c>
    </row>
    <row r="43" spans="2:9" ht="15.6" x14ac:dyDescent="0.3">
      <c r="B43" s="6">
        <v>45087</v>
      </c>
      <c r="C43" s="7">
        <v>1540</v>
      </c>
      <c r="D43" s="16">
        <v>6</v>
      </c>
      <c r="E43" s="16" t="str">
        <v>Sat</v>
      </c>
      <c r="F43" s="7">
        <f t="shared" si="7"/>
        <v>1086</v>
      </c>
      <c r="G43" s="84">
        <f t="shared" si="1"/>
        <v>454</v>
      </c>
      <c r="H43" s="16">
        <f t="shared" si="2"/>
        <v>454</v>
      </c>
      <c r="I43" s="84">
        <f t="shared" si="3"/>
        <v>206116</v>
      </c>
    </row>
    <row r="44" spans="2:9" ht="15.6" x14ac:dyDescent="0.3">
      <c r="B44" s="6">
        <v>45088</v>
      </c>
      <c r="C44" s="7">
        <v>1787</v>
      </c>
      <c r="D44" s="16">
        <v>6</v>
      </c>
      <c r="E44" s="16" t="str">
        <v>Sun</v>
      </c>
      <c r="F44" s="7">
        <f t="shared" si="7"/>
        <v>1033</v>
      </c>
      <c r="G44" s="84">
        <f t="shared" si="1"/>
        <v>754</v>
      </c>
      <c r="H44" s="16">
        <f t="shared" si="2"/>
        <v>754</v>
      </c>
      <c r="I44" s="84">
        <f t="shared" si="3"/>
        <v>568516</v>
      </c>
    </row>
    <row r="45" spans="2:9" ht="15.6" x14ac:dyDescent="0.3">
      <c r="B45" s="6">
        <v>45089</v>
      </c>
      <c r="C45" s="7">
        <v>3102</v>
      </c>
      <c r="D45" s="16">
        <v>7</v>
      </c>
      <c r="E45" s="16" t="str">
        <v>Mon</v>
      </c>
      <c r="F45" s="7">
        <f t="shared" ref="F45:F51" si="8">AVERAGE(C3,C10,C17,C24,C31,C38)</f>
        <v>1996.3333333333333</v>
      </c>
      <c r="G45" s="84">
        <f t="shared" si="1"/>
        <v>1105.6666666666667</v>
      </c>
      <c r="H45" s="16">
        <f t="shared" si="2"/>
        <v>1105.6666666666667</v>
      </c>
      <c r="I45" s="84">
        <f t="shared" si="3"/>
        <v>1222498.777777778</v>
      </c>
    </row>
    <row r="46" spans="2:9" ht="15.6" x14ac:dyDescent="0.3">
      <c r="B46" s="6">
        <v>45090</v>
      </c>
      <c r="C46" s="7">
        <v>2403</v>
      </c>
      <c r="D46" s="16">
        <v>7</v>
      </c>
      <c r="E46" s="16" t="str">
        <v>Tue</v>
      </c>
      <c r="F46" s="7">
        <f t="shared" si="8"/>
        <v>2119.8333333333335</v>
      </c>
      <c r="G46" s="84">
        <f t="shared" si="1"/>
        <v>283.16666666666652</v>
      </c>
      <c r="H46" s="16">
        <f t="shared" si="2"/>
        <v>283.16666666666652</v>
      </c>
      <c r="I46" s="84">
        <f t="shared" si="3"/>
        <v>80183.361111111022</v>
      </c>
    </row>
    <row r="47" spans="2:9" ht="15.6" x14ac:dyDescent="0.3">
      <c r="B47" s="6">
        <v>45091</v>
      </c>
      <c r="C47" s="7">
        <v>2927</v>
      </c>
      <c r="D47" s="16">
        <v>7</v>
      </c>
      <c r="E47" s="16" t="str">
        <v>Wed</v>
      </c>
      <c r="F47" s="7">
        <f t="shared" si="8"/>
        <v>2134.5</v>
      </c>
      <c r="G47" s="84">
        <f t="shared" si="1"/>
        <v>792.5</v>
      </c>
      <c r="H47" s="16">
        <f t="shared" si="2"/>
        <v>792.5</v>
      </c>
      <c r="I47" s="84">
        <f t="shared" si="3"/>
        <v>628056.25</v>
      </c>
    </row>
    <row r="48" spans="2:9" ht="15.6" x14ac:dyDescent="0.3">
      <c r="B48" s="6">
        <v>45092</v>
      </c>
      <c r="C48" s="7">
        <v>3213</v>
      </c>
      <c r="D48" s="16">
        <v>7</v>
      </c>
      <c r="E48" s="16" t="str">
        <v>Thu</v>
      </c>
      <c r="F48" s="7">
        <f t="shared" si="8"/>
        <v>1980</v>
      </c>
      <c r="G48" s="84">
        <f t="shared" si="1"/>
        <v>1233</v>
      </c>
      <c r="H48" s="16">
        <f t="shared" si="2"/>
        <v>1233</v>
      </c>
      <c r="I48" s="84">
        <f t="shared" si="3"/>
        <v>1520289</v>
      </c>
    </row>
    <row r="49" spans="2:9" ht="15.6" x14ac:dyDescent="0.3">
      <c r="B49" s="6">
        <v>45093</v>
      </c>
      <c r="C49" s="7">
        <v>2194</v>
      </c>
      <c r="D49" s="16">
        <v>7</v>
      </c>
      <c r="E49" s="16" t="str">
        <v>Fri</v>
      </c>
      <c r="F49" s="7">
        <f t="shared" si="8"/>
        <v>1671.5</v>
      </c>
      <c r="G49" s="84">
        <f t="shared" si="1"/>
        <v>522.5</v>
      </c>
      <c r="H49" s="16">
        <f t="shared" si="2"/>
        <v>522.5</v>
      </c>
      <c r="I49" s="84">
        <f t="shared" si="3"/>
        <v>273006.25</v>
      </c>
    </row>
    <row r="50" spans="2:9" ht="15.6" x14ac:dyDescent="0.3">
      <c r="B50" s="6">
        <v>45094</v>
      </c>
      <c r="C50" s="7">
        <v>1780</v>
      </c>
      <c r="D50" s="16">
        <v>7</v>
      </c>
      <c r="E50" s="16" t="str">
        <v>Sat</v>
      </c>
      <c r="F50" s="7">
        <f t="shared" si="8"/>
        <v>1161.6666666666667</v>
      </c>
      <c r="G50" s="84">
        <f t="shared" si="1"/>
        <v>618.33333333333326</v>
      </c>
      <c r="H50" s="16">
        <f t="shared" si="2"/>
        <v>618.33333333333326</v>
      </c>
      <c r="I50" s="84">
        <f t="shared" si="3"/>
        <v>382336.11111111101</v>
      </c>
    </row>
    <row r="51" spans="2:9" ht="15.6" x14ac:dyDescent="0.3">
      <c r="B51" s="6">
        <v>45095</v>
      </c>
      <c r="C51" s="7">
        <v>1408</v>
      </c>
      <c r="D51" s="16">
        <v>7</v>
      </c>
      <c r="E51" s="16" t="str">
        <v>Sun</v>
      </c>
      <c r="F51" s="7">
        <f t="shared" si="8"/>
        <v>1158.6666666666667</v>
      </c>
      <c r="G51" s="84">
        <f t="shared" si="1"/>
        <v>249.33333333333326</v>
      </c>
      <c r="H51" s="16">
        <f t="shared" si="2"/>
        <v>249.33333333333326</v>
      </c>
      <c r="I51" s="84">
        <f t="shared" si="3"/>
        <v>62167.111111111073</v>
      </c>
    </row>
    <row r="52" spans="2:9" ht="15.6" x14ac:dyDescent="0.3">
      <c r="B52" s="10">
        <v>45096</v>
      </c>
      <c r="C52" s="11">
        <v>2920</v>
      </c>
      <c r="D52" s="85">
        <v>8</v>
      </c>
      <c r="E52" s="85" t="str">
        <v>Mon</v>
      </c>
      <c r="F52" s="11">
        <f t="shared" ref="F52:F58" si="9">AVERAGE(C3,C10,C17,C24,C31,C38,C45)</f>
        <v>2154.2857142857142</v>
      </c>
      <c r="G52" s="89">
        <f t="shared" si="1"/>
        <v>765.71428571428578</v>
      </c>
      <c r="H52" s="85">
        <f t="shared" si="2"/>
        <v>765.71428571428578</v>
      </c>
      <c r="I52" s="89">
        <f t="shared" si="3"/>
        <v>586318.36734693893</v>
      </c>
    </row>
    <row r="53" spans="2:9" ht="15.6" x14ac:dyDescent="0.3">
      <c r="B53" s="10">
        <v>45097</v>
      </c>
      <c r="C53" s="11">
        <v>2647</v>
      </c>
      <c r="D53" s="85">
        <v>8</v>
      </c>
      <c r="E53" s="85" t="str">
        <v>Tue</v>
      </c>
      <c r="F53" s="11">
        <f t="shared" si="9"/>
        <v>2160.2857142857142</v>
      </c>
      <c r="G53" s="89">
        <f t="shared" si="1"/>
        <v>486.71428571428578</v>
      </c>
      <c r="H53" s="85">
        <f t="shared" si="2"/>
        <v>486.71428571428578</v>
      </c>
      <c r="I53" s="89">
        <f t="shared" si="3"/>
        <v>236890.7959183674</v>
      </c>
    </row>
    <row r="54" spans="2:9" ht="15.6" x14ac:dyDescent="0.3">
      <c r="B54" s="10">
        <v>45098</v>
      </c>
      <c r="C54" s="11">
        <v>3020</v>
      </c>
      <c r="D54" s="85">
        <v>8</v>
      </c>
      <c r="E54" s="85" t="str">
        <v>Wed</v>
      </c>
      <c r="F54" s="11">
        <f t="shared" si="9"/>
        <v>2247.7142857142858</v>
      </c>
      <c r="G54" s="89">
        <f t="shared" si="1"/>
        <v>772.28571428571422</v>
      </c>
      <c r="H54" s="85">
        <f t="shared" si="2"/>
        <v>772.28571428571422</v>
      </c>
      <c r="I54" s="89">
        <f t="shared" si="3"/>
        <v>596425.22448979586</v>
      </c>
    </row>
    <row r="55" spans="2:9" ht="15.6" x14ac:dyDescent="0.3">
      <c r="B55" s="10">
        <v>45099</v>
      </c>
      <c r="C55" s="11">
        <v>2338</v>
      </c>
      <c r="D55" s="85">
        <v>8</v>
      </c>
      <c r="E55" s="85" t="str">
        <v>Thu</v>
      </c>
      <c r="F55" s="11">
        <f t="shared" si="9"/>
        <v>2156.1428571428573</v>
      </c>
      <c r="G55" s="89">
        <f t="shared" si="1"/>
        <v>181.85714285714266</v>
      </c>
      <c r="H55" s="85">
        <f t="shared" si="2"/>
        <v>181.85714285714266</v>
      </c>
      <c r="I55" s="89">
        <f t="shared" si="3"/>
        <v>33072.020408163196</v>
      </c>
    </row>
    <row r="56" spans="2:9" ht="15.6" x14ac:dyDescent="0.3">
      <c r="B56" s="10">
        <v>45100</v>
      </c>
      <c r="C56" s="11">
        <v>2950</v>
      </c>
      <c r="D56" s="85"/>
      <c r="E56" s="86" t="str" cm="1">
        <f t="array" ref="E56:E58">'2.3 Identify Seasonality'!G56:G58</f>
        <v>Fri</v>
      </c>
      <c r="F56" s="11">
        <f t="shared" si="9"/>
        <v>1746.1428571428571</v>
      </c>
      <c r="G56" s="89">
        <f t="shared" si="1"/>
        <v>1203.8571428571429</v>
      </c>
      <c r="H56" s="85">
        <f t="shared" si="2"/>
        <v>1203.8571428571429</v>
      </c>
      <c r="I56" s="89">
        <f t="shared" si="3"/>
        <v>1449272.0204081633</v>
      </c>
    </row>
    <row r="57" spans="2:9" ht="15.6" x14ac:dyDescent="0.3">
      <c r="B57" s="10">
        <v>45101</v>
      </c>
      <c r="C57" s="11">
        <v>1601</v>
      </c>
      <c r="D57" s="85"/>
      <c r="E57" s="85" t="str">
        <v>Sat</v>
      </c>
      <c r="F57" s="11">
        <f t="shared" si="9"/>
        <v>1250</v>
      </c>
      <c r="G57" s="89">
        <f>C57-F57</f>
        <v>351</v>
      </c>
      <c r="H57" s="85">
        <f t="shared" si="2"/>
        <v>351</v>
      </c>
      <c r="I57" s="89">
        <f t="shared" si="3"/>
        <v>123201</v>
      </c>
    </row>
    <row r="58" spans="2:9" ht="15.6" x14ac:dyDescent="0.3">
      <c r="B58" s="10">
        <v>45102</v>
      </c>
      <c r="C58" s="11">
        <v>1615</v>
      </c>
      <c r="D58" s="85"/>
      <c r="E58" s="85" t="str">
        <v>Sun</v>
      </c>
      <c r="F58" s="11">
        <f t="shared" si="9"/>
        <v>1194.2857142857142</v>
      </c>
      <c r="G58" s="89">
        <f t="shared" si="1"/>
        <v>420.71428571428578</v>
      </c>
      <c r="H58" s="85">
        <f t="shared" si="2"/>
        <v>420.71428571428578</v>
      </c>
      <c r="I58" s="89">
        <f t="shared" si="3"/>
        <v>177000.51020408169</v>
      </c>
    </row>
    <row r="59" spans="2:9" ht="15.6" x14ac:dyDescent="0.3">
      <c r="F59" s="91"/>
    </row>
    <row r="60" spans="2:9" ht="15.6" x14ac:dyDescent="0.3">
      <c r="F60" s="91"/>
    </row>
    <row r="61" spans="2:9" ht="15.6" x14ac:dyDescent="0.3">
      <c r="F61" s="91"/>
    </row>
    <row r="62" spans="2:9" ht="15.6" x14ac:dyDescent="0.3">
      <c r="F62" s="91"/>
    </row>
    <row r="63" spans="2:9" ht="15.6" x14ac:dyDescent="0.3">
      <c r="F63" s="91"/>
    </row>
    <row r="64" spans="2:9" ht="15.6" x14ac:dyDescent="0.3">
      <c r="F64" s="91"/>
    </row>
    <row r="65" spans="6:6" ht="15.6" x14ac:dyDescent="0.3">
      <c r="F65" s="9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387C-8F02-4FF0-B9EC-7720D7AD1DDC}">
  <dimension ref="B2:P58"/>
  <sheetViews>
    <sheetView topLeftCell="A37" workbookViewId="0">
      <selection activeCell="H44" sqref="H44"/>
    </sheetView>
  </sheetViews>
  <sheetFormatPr defaultRowHeight="14.4" x14ac:dyDescent="0.3"/>
  <cols>
    <col min="3" max="3" width="13.5546875" customWidth="1"/>
    <col min="6" max="6" width="10.77734375" customWidth="1"/>
    <col min="8" max="8" width="25.6640625" customWidth="1"/>
    <col min="9" max="9" width="8.88671875" style="9"/>
    <col min="10" max="10" width="15.109375" customWidth="1"/>
    <col min="11" max="11" width="16.6640625" bestFit="1" customWidth="1"/>
    <col min="12" max="12" width="2.77734375" customWidth="1"/>
    <col min="13" max="13" width="2.6640625" customWidth="1"/>
    <col min="14" max="14" width="2.109375" customWidth="1"/>
    <col min="15" max="15" width="19.33203125" customWidth="1"/>
    <col min="16" max="16" width="9.5546875" bestFit="1" customWidth="1"/>
  </cols>
  <sheetData>
    <row r="2" spans="2:16" ht="15.6" x14ac:dyDescent="0.3">
      <c r="B2" s="72" t="s">
        <v>1</v>
      </c>
      <c r="C2" s="73" t="s">
        <v>2</v>
      </c>
      <c r="D2" s="80" t="s">
        <v>9</v>
      </c>
      <c r="E2" s="80" t="s">
        <v>10</v>
      </c>
      <c r="F2" s="80" t="s">
        <v>37</v>
      </c>
      <c r="G2" s="80" t="s">
        <v>38</v>
      </c>
      <c r="H2" s="80" t="s">
        <v>39</v>
      </c>
      <c r="I2" s="87" t="s">
        <v>26</v>
      </c>
      <c r="J2" s="80" t="s">
        <v>27</v>
      </c>
      <c r="K2" s="80" t="s">
        <v>28</v>
      </c>
    </row>
    <row r="3" spans="2:16" ht="15.6" x14ac:dyDescent="0.3">
      <c r="B3" s="6">
        <v>45047</v>
      </c>
      <c r="C3" s="7">
        <v>1576</v>
      </c>
      <c r="D3" s="16"/>
      <c r="E3" s="16"/>
      <c r="F3" s="84">
        <f>AVERAGE($C$3:$C$9)</f>
        <v>1577.1428571428571</v>
      </c>
      <c r="G3" s="92">
        <f>C3/F3</f>
        <v>0.99927536231884062</v>
      </c>
      <c r="H3" s="16"/>
      <c r="I3" s="82"/>
      <c r="J3" s="16"/>
      <c r="K3" s="16"/>
    </row>
    <row r="4" spans="2:16" ht="15.6" x14ac:dyDescent="0.3">
      <c r="B4" s="6">
        <v>45048</v>
      </c>
      <c r="C4" s="7">
        <v>2299</v>
      </c>
      <c r="D4" s="16"/>
      <c r="E4" s="16"/>
      <c r="F4" s="84">
        <f t="shared" ref="F4:F9" si="0">AVERAGE($C$3:$C$9)</f>
        <v>1577.1428571428571</v>
      </c>
      <c r="G4" s="92">
        <f>C4/F4</f>
        <v>1.4576992753623188</v>
      </c>
      <c r="H4" s="16"/>
      <c r="I4" s="82"/>
      <c r="J4" s="16"/>
      <c r="K4" s="16"/>
    </row>
    <row r="5" spans="2:16" ht="15.6" x14ac:dyDescent="0.3">
      <c r="B5" s="6">
        <v>45049</v>
      </c>
      <c r="C5" s="7">
        <v>1878</v>
      </c>
      <c r="D5" s="16"/>
      <c r="E5" s="16"/>
      <c r="F5" s="84">
        <f t="shared" si="0"/>
        <v>1577.1428571428571</v>
      </c>
      <c r="G5" s="92">
        <f t="shared" ref="G5:G9" si="1">C5/F5</f>
        <v>1.1907608695652174</v>
      </c>
      <c r="H5" s="16"/>
      <c r="I5" s="82"/>
      <c r="J5" s="16"/>
      <c r="K5" s="16"/>
    </row>
    <row r="6" spans="2:16" ht="15.6" x14ac:dyDescent="0.3">
      <c r="B6" s="6">
        <v>45050</v>
      </c>
      <c r="C6" s="7">
        <v>1628</v>
      </c>
      <c r="D6" s="83" cm="1">
        <f t="array" ref="D6:E55">'2.3 Identify Seasonality'!F6:G55</f>
        <v>1</v>
      </c>
      <c r="E6" s="16" t="str">
        <v>Thu</v>
      </c>
      <c r="F6" s="84">
        <f t="shared" si="0"/>
        <v>1577.1428571428571</v>
      </c>
      <c r="G6" s="92">
        <f t="shared" si="1"/>
        <v>1.0322463768115941</v>
      </c>
      <c r="H6" s="16"/>
      <c r="I6" s="82"/>
      <c r="J6" s="16"/>
      <c r="K6" s="16"/>
      <c r="O6" s="15" t="s">
        <v>215</v>
      </c>
      <c r="P6" s="15">
        <v>0.3</v>
      </c>
    </row>
    <row r="7" spans="2:16" ht="15.6" x14ac:dyDescent="0.3">
      <c r="B7" s="6">
        <v>45051</v>
      </c>
      <c r="C7" s="7">
        <v>1555</v>
      </c>
      <c r="D7" s="16">
        <v>1</v>
      </c>
      <c r="E7" s="16" t="str">
        <v>Fri</v>
      </c>
      <c r="F7" s="84">
        <f t="shared" si="0"/>
        <v>1577.1428571428571</v>
      </c>
      <c r="G7" s="92">
        <f t="shared" si="1"/>
        <v>0.98596014492753625</v>
      </c>
      <c r="H7" s="16"/>
      <c r="I7" s="82"/>
      <c r="J7" s="16"/>
      <c r="K7" s="16"/>
      <c r="O7" s="15" t="s">
        <v>40</v>
      </c>
      <c r="P7" s="15">
        <v>0.35</v>
      </c>
    </row>
    <row r="8" spans="2:16" ht="15.6" x14ac:dyDescent="0.3">
      <c r="B8" s="6">
        <v>45052</v>
      </c>
      <c r="C8" s="7">
        <v>1240</v>
      </c>
      <c r="D8" s="16">
        <v>1</v>
      </c>
      <c r="E8" s="16" t="str">
        <v>Sat</v>
      </c>
      <c r="F8" s="84">
        <f t="shared" si="0"/>
        <v>1577.1428571428571</v>
      </c>
      <c r="G8" s="92">
        <f t="shared" si="1"/>
        <v>0.78623188405797106</v>
      </c>
      <c r="H8" s="16"/>
      <c r="I8" s="82"/>
      <c r="J8" s="16"/>
      <c r="K8" s="16"/>
    </row>
    <row r="9" spans="2:16" ht="15.6" x14ac:dyDescent="0.3">
      <c r="B9" s="6">
        <v>45053</v>
      </c>
      <c r="C9" s="7">
        <v>864</v>
      </c>
      <c r="D9" s="16">
        <v>1</v>
      </c>
      <c r="E9" s="16" t="str">
        <v>Sun</v>
      </c>
      <c r="F9" s="84">
        <f t="shared" si="0"/>
        <v>1577.1428571428571</v>
      </c>
      <c r="G9" s="92">
        <f t="shared" si="1"/>
        <v>0.5478260869565218</v>
      </c>
      <c r="H9" s="16"/>
      <c r="I9" s="82"/>
      <c r="J9" s="16"/>
      <c r="K9" s="16"/>
    </row>
    <row r="10" spans="2:16" ht="15.6" x14ac:dyDescent="0.3">
      <c r="B10" s="6">
        <v>45054</v>
      </c>
      <c r="C10" s="7">
        <v>1882</v>
      </c>
      <c r="D10" s="16">
        <v>2</v>
      </c>
      <c r="E10" s="16" t="str">
        <v>Mon</v>
      </c>
      <c r="F10" s="84">
        <f t="shared" ref="F10:F31" si="2">$P$6*(C10/G3)+(1-$P$6)*F9</f>
        <v>1669.0094271211024</v>
      </c>
      <c r="G10" s="92">
        <f t="shared" ref="G10:G24" si="3">$P$7*(C10/F10)+(1-$P$7)*G3</f>
        <v>1.0441942218421909</v>
      </c>
      <c r="H10" s="82">
        <f>F10*G3</f>
        <v>1667.8000000000002</v>
      </c>
      <c r="I10" s="82">
        <f>C10-H10</f>
        <v>214.19999999999982</v>
      </c>
      <c r="J10" s="82">
        <f>ABS(I10)</f>
        <v>214.19999999999982</v>
      </c>
      <c r="K10" s="82">
        <f>I10^2</f>
        <v>45881.639999999919</v>
      </c>
      <c r="O10" s="39" t="s">
        <v>41</v>
      </c>
      <c r="P10" s="14"/>
    </row>
    <row r="11" spans="2:16" ht="15.6" x14ac:dyDescent="0.3">
      <c r="B11" s="6">
        <v>45055</v>
      </c>
      <c r="C11" s="7">
        <v>2306</v>
      </c>
      <c r="D11" s="16">
        <v>2</v>
      </c>
      <c r="E11" s="16" t="str">
        <v>Tue</v>
      </c>
      <c r="F11" s="84">
        <f t="shared" si="2"/>
        <v>1642.8900824869154</v>
      </c>
      <c r="G11" s="92">
        <f t="shared" si="3"/>
        <v>1.4387729398205504</v>
      </c>
      <c r="H11" s="82">
        <f>F11*G4</f>
        <v>2394.8396827411166</v>
      </c>
      <c r="I11" s="82">
        <f t="shared" ref="I11:I58" si="4">C11-H11</f>
        <v>-88.839682741116576</v>
      </c>
      <c r="J11" s="82">
        <f t="shared" ref="J11:J58" si="5">ABS(I11)</f>
        <v>88.839682741116576</v>
      </c>
      <c r="K11" s="82">
        <f t="shared" ref="K11:K58" si="6">I11^2</f>
        <v>7892.489229542246</v>
      </c>
      <c r="O11" s="39"/>
      <c r="P11" s="14"/>
    </row>
    <row r="12" spans="2:16" ht="15.6" x14ac:dyDescent="0.3">
      <c r="B12" s="6">
        <v>45056</v>
      </c>
      <c r="C12" s="7">
        <v>1988</v>
      </c>
      <c r="D12" s="16">
        <v>2</v>
      </c>
      <c r="E12" s="16" t="str">
        <v>Wed</v>
      </c>
      <c r="F12" s="84">
        <f t="shared" si="2"/>
        <v>1650.8792877727894</v>
      </c>
      <c r="G12" s="92">
        <f t="shared" si="3"/>
        <v>1.1954669315820501</v>
      </c>
      <c r="H12" s="82">
        <f t="shared" ref="H12:H58" si="7">F12*G5</f>
        <v>1965.8024562555336</v>
      </c>
      <c r="I12" s="82">
        <f t="shared" si="4"/>
        <v>22.197543744466429</v>
      </c>
      <c r="J12" s="82">
        <f t="shared" si="5"/>
        <v>22.197543744466429</v>
      </c>
      <c r="K12" s="82">
        <f t="shared" si="6"/>
        <v>492.73094828750072</v>
      </c>
      <c r="O12" s="39" t="s">
        <v>30</v>
      </c>
      <c r="P12" s="17">
        <f>AVERAGE(I10:I51)</f>
        <v>34.705923635442275</v>
      </c>
    </row>
    <row r="13" spans="2:16" ht="15.6" x14ac:dyDescent="0.3">
      <c r="B13" s="6">
        <v>45057</v>
      </c>
      <c r="C13" s="7">
        <v>1886</v>
      </c>
      <c r="D13" s="16">
        <v>2</v>
      </c>
      <c r="E13" s="16" t="str">
        <v>Thu</v>
      </c>
      <c r="F13" s="84">
        <f t="shared" si="2"/>
        <v>1703.7404575659089</v>
      </c>
      <c r="G13" s="92">
        <f t="shared" si="3"/>
        <v>1.0584017866803348</v>
      </c>
      <c r="H13" s="82">
        <f t="shared" si="7"/>
        <v>1758.6799143497369</v>
      </c>
      <c r="I13" s="82">
        <f t="shared" si="4"/>
        <v>127.32008565026308</v>
      </c>
      <c r="J13" s="82">
        <f t="shared" si="5"/>
        <v>127.32008565026308</v>
      </c>
      <c r="K13" s="82">
        <f t="shared" si="6"/>
        <v>16210.404209990327</v>
      </c>
      <c r="O13" s="39" t="s">
        <v>42</v>
      </c>
      <c r="P13" s="17">
        <f>AVERAGE(J10:J51)</f>
        <v>174.82676376505125</v>
      </c>
    </row>
    <row r="14" spans="2:16" ht="15.6" x14ac:dyDescent="0.3">
      <c r="B14" s="6">
        <v>45058</v>
      </c>
      <c r="C14" s="7">
        <v>1365</v>
      </c>
      <c r="D14" s="16">
        <v>2</v>
      </c>
      <c r="E14" s="16" t="str">
        <v>Fri</v>
      </c>
      <c r="F14" s="84">
        <f t="shared" si="2"/>
        <v>1607.949510006747</v>
      </c>
      <c r="G14" s="92">
        <f t="shared" si="3"/>
        <v>0.93799163242584638</v>
      </c>
      <c r="H14" s="82">
        <f t="shared" si="7"/>
        <v>1585.3741319224132</v>
      </c>
      <c r="I14" s="82">
        <f t="shared" si="4"/>
        <v>-220.3741319224132</v>
      </c>
      <c r="J14" s="82">
        <f t="shared" si="5"/>
        <v>220.3741319224132</v>
      </c>
      <c r="K14" s="82">
        <f t="shared" si="6"/>
        <v>48564.758020557179</v>
      </c>
      <c r="O14" s="39" t="s">
        <v>32</v>
      </c>
      <c r="P14" s="17">
        <f>AVERAGE(K10:K51)</f>
        <v>56820.95012928958</v>
      </c>
    </row>
    <row r="15" spans="2:16" ht="15.6" x14ac:dyDescent="0.3">
      <c r="B15" s="6">
        <v>45059</v>
      </c>
      <c r="C15" s="7">
        <v>998</v>
      </c>
      <c r="D15" s="16">
        <v>2</v>
      </c>
      <c r="E15" s="16" t="str">
        <v>Sat</v>
      </c>
      <c r="F15" s="84">
        <f t="shared" si="2"/>
        <v>1506.3683436406675</v>
      </c>
      <c r="G15" s="92">
        <f t="shared" si="3"/>
        <v>0.74293292096410823</v>
      </c>
      <c r="H15" s="82">
        <f t="shared" si="7"/>
        <v>1184.3548209058872</v>
      </c>
      <c r="I15" s="82">
        <f t="shared" si="4"/>
        <v>-186.35482090588721</v>
      </c>
      <c r="J15" s="82">
        <f t="shared" si="5"/>
        <v>186.35482090588721</v>
      </c>
      <c r="K15" s="82">
        <f t="shared" si="6"/>
        <v>34728.119274865297</v>
      </c>
      <c r="O15" s="39" t="s">
        <v>33</v>
      </c>
      <c r="P15" s="14">
        <f>SQRT(P14)</f>
        <v>238.37145409903758</v>
      </c>
    </row>
    <row r="16" spans="2:16" ht="15.6" x14ac:dyDescent="0.3">
      <c r="B16" s="6">
        <v>45060</v>
      </c>
      <c r="C16" s="7">
        <v>1052</v>
      </c>
      <c r="D16" s="16">
        <v>2</v>
      </c>
      <c r="E16" s="16" t="str">
        <v>Sun</v>
      </c>
      <c r="F16" s="84">
        <f t="shared" si="2"/>
        <v>1630.5530786437052</v>
      </c>
      <c r="G16" s="92">
        <f t="shared" si="3"/>
        <v>0.58189990601877051</v>
      </c>
      <c r="H16" s="82">
        <f t="shared" si="7"/>
        <v>893.25951264829075</v>
      </c>
      <c r="I16" s="82">
        <f t="shared" si="4"/>
        <v>158.74048735170925</v>
      </c>
      <c r="J16" s="82">
        <f t="shared" si="5"/>
        <v>158.74048735170925</v>
      </c>
      <c r="K16" s="82">
        <f t="shared" si="6"/>
        <v>25198.542324658163</v>
      </c>
    </row>
    <row r="17" spans="2:16" ht="15.6" x14ac:dyDescent="0.3">
      <c r="B17" s="6">
        <v>45061</v>
      </c>
      <c r="C17" s="7">
        <v>1905</v>
      </c>
      <c r="D17" s="16">
        <v>3</v>
      </c>
      <c r="E17" s="16" t="str">
        <v>Mon</v>
      </c>
      <c r="F17" s="92">
        <f t="shared" si="2"/>
        <v>1688.6991282884333</v>
      </c>
      <c r="G17" s="92">
        <f t="shared" si="3"/>
        <v>1.0735567908773285</v>
      </c>
      <c r="H17" s="82">
        <f t="shared" si="7"/>
        <v>1763.3298721887268</v>
      </c>
      <c r="I17" s="82">
        <f t="shared" si="4"/>
        <v>141.67012781127323</v>
      </c>
      <c r="J17" s="82">
        <f t="shared" si="5"/>
        <v>141.67012781127323</v>
      </c>
      <c r="K17" s="82">
        <f t="shared" si="6"/>
        <v>20070.425114062495</v>
      </c>
    </row>
    <row r="18" spans="2:16" ht="15.6" x14ac:dyDescent="0.3">
      <c r="B18" s="6">
        <v>45062</v>
      </c>
      <c r="C18" s="7">
        <v>1767</v>
      </c>
      <c r="D18" s="16">
        <v>3</v>
      </c>
      <c r="E18" s="16" t="str">
        <v>Tue</v>
      </c>
      <c r="F18" s="92">
        <f t="shared" si="2"/>
        <v>1550.5283458932768</v>
      </c>
      <c r="G18" s="92">
        <f t="shared" si="3"/>
        <v>1.3340664507688744</v>
      </c>
      <c r="H18" s="82">
        <f t="shared" si="7"/>
        <v>2230.858226495965</v>
      </c>
      <c r="I18" s="82">
        <f t="shared" si="4"/>
        <v>-463.85822649596503</v>
      </c>
      <c r="J18" s="82">
        <f t="shared" si="5"/>
        <v>463.85822649596503</v>
      </c>
      <c r="K18" s="82">
        <f t="shared" si="6"/>
        <v>215164.45428798199</v>
      </c>
      <c r="O18" s="39" t="s">
        <v>34</v>
      </c>
      <c r="P18" s="14"/>
    </row>
    <row r="19" spans="2:16" ht="15.6" x14ac:dyDescent="0.3">
      <c r="B19" s="6">
        <v>45063</v>
      </c>
      <c r="C19" s="7">
        <v>1911</v>
      </c>
      <c r="D19" s="16">
        <v>3</v>
      </c>
      <c r="E19" s="16" t="str">
        <v>Wed</v>
      </c>
      <c r="F19" s="92">
        <f t="shared" si="2"/>
        <v>1564.9314133025989</v>
      </c>
      <c r="G19" s="92">
        <f t="shared" si="3"/>
        <v>1.2044524281357285</v>
      </c>
      <c r="H19" s="82">
        <f t="shared" si="7"/>
        <v>1870.823754797219</v>
      </c>
      <c r="I19" s="82">
        <f t="shared" si="4"/>
        <v>40.176245202781047</v>
      </c>
      <c r="J19" s="82">
        <f t="shared" si="5"/>
        <v>40.176245202781047</v>
      </c>
      <c r="K19" s="82">
        <f t="shared" si="6"/>
        <v>1614.1306785939871</v>
      </c>
      <c r="O19" s="39"/>
      <c r="P19" s="14"/>
    </row>
    <row r="20" spans="2:16" ht="15.6" x14ac:dyDescent="0.3">
      <c r="B20" s="6">
        <v>45064</v>
      </c>
      <c r="C20" s="7">
        <v>2036</v>
      </c>
      <c r="D20" s="16">
        <v>3</v>
      </c>
      <c r="E20" s="16" t="str">
        <v>Thu</v>
      </c>
      <c r="F20" s="92">
        <f t="shared" si="2"/>
        <v>1672.5485207866641</v>
      </c>
      <c r="G20" s="92">
        <f t="shared" si="3"/>
        <v>1.1140175603905613</v>
      </c>
      <c r="H20" s="82">
        <f t="shared" si="7"/>
        <v>1770.2283427101563</v>
      </c>
      <c r="I20" s="82">
        <f t="shared" si="4"/>
        <v>265.77165728984369</v>
      </c>
      <c r="J20" s="82">
        <f t="shared" si="5"/>
        <v>265.77165728984369</v>
      </c>
      <c r="K20" s="82">
        <f t="shared" si="6"/>
        <v>70634.573818590128</v>
      </c>
      <c r="O20" s="39" t="s">
        <v>30</v>
      </c>
      <c r="P20" s="17">
        <f>AVERAGE(I52:I58)</f>
        <v>21.276286035381709</v>
      </c>
    </row>
    <row r="21" spans="2:16" ht="15.6" x14ac:dyDescent="0.3">
      <c r="B21" s="6">
        <v>45065</v>
      </c>
      <c r="C21" s="7">
        <v>1428</v>
      </c>
      <c r="D21" s="16">
        <v>3</v>
      </c>
      <c r="E21" s="16" t="str">
        <v>Fri</v>
      </c>
      <c r="F21" s="92">
        <f t="shared" si="2"/>
        <v>1627.5044567069392</v>
      </c>
      <c r="G21" s="92">
        <f t="shared" si="3"/>
        <v>0.9167904943262154</v>
      </c>
      <c r="H21" s="82">
        <f t="shared" si="7"/>
        <v>1526.5855621268822</v>
      </c>
      <c r="I21" s="82">
        <f t="shared" si="4"/>
        <v>-98.585562126882223</v>
      </c>
      <c r="J21" s="82">
        <f t="shared" si="5"/>
        <v>98.585562126882223</v>
      </c>
      <c r="K21" s="82">
        <f t="shared" si="6"/>
        <v>9719.1130598733544</v>
      </c>
      <c r="O21" s="39" t="s">
        <v>42</v>
      </c>
      <c r="P21" s="17">
        <f>AVERAGE(J52:J58)</f>
        <v>211.70191833203057</v>
      </c>
    </row>
    <row r="22" spans="2:16" ht="15.6" x14ac:dyDescent="0.3">
      <c r="B22" s="6">
        <v>45066</v>
      </c>
      <c r="C22" s="7">
        <v>1008</v>
      </c>
      <c r="D22" s="16">
        <v>3</v>
      </c>
      <c r="E22" s="16" t="str">
        <v>Sat</v>
      </c>
      <c r="F22" s="92">
        <f t="shared" si="2"/>
        <v>1546.2885215014885</v>
      </c>
      <c r="G22" s="92">
        <f t="shared" si="3"/>
        <v>0.71106562964613207</v>
      </c>
      <c r="H22" s="82">
        <f t="shared" si="7"/>
        <v>1148.7886479323731</v>
      </c>
      <c r="I22" s="82">
        <f t="shared" si="4"/>
        <v>-140.78864793237312</v>
      </c>
      <c r="J22" s="82">
        <f t="shared" si="5"/>
        <v>140.78864793237312</v>
      </c>
      <c r="K22" s="82">
        <f t="shared" si="6"/>
        <v>19821.44338662571</v>
      </c>
      <c r="O22" s="39" t="s">
        <v>32</v>
      </c>
      <c r="P22" s="17">
        <f>AVERAGE(K52:K58)</f>
        <v>108501.69326664305</v>
      </c>
    </row>
    <row r="23" spans="2:16" ht="15.6" x14ac:dyDescent="0.3">
      <c r="B23" s="6">
        <v>45067</v>
      </c>
      <c r="C23" s="7">
        <v>1082</v>
      </c>
      <c r="D23" s="16">
        <v>3</v>
      </c>
      <c r="E23" s="16" t="str">
        <v>Sun</v>
      </c>
      <c r="F23" s="92">
        <f t="shared" si="2"/>
        <v>1640.2298606093018</v>
      </c>
      <c r="G23" s="92">
        <f t="shared" si="3"/>
        <v>0.60911721285112486</v>
      </c>
      <c r="H23" s="82">
        <f t="shared" si="7"/>
        <v>954.44960173773381</v>
      </c>
      <c r="I23" s="82">
        <f t="shared" si="4"/>
        <v>127.55039826226619</v>
      </c>
      <c r="J23" s="82">
        <f t="shared" si="5"/>
        <v>127.55039826226619</v>
      </c>
      <c r="K23" s="82">
        <f t="shared" si="6"/>
        <v>16269.104096862717</v>
      </c>
      <c r="O23" s="39" t="s">
        <v>33</v>
      </c>
      <c r="P23" s="14">
        <f>SQRT(P22)</f>
        <v>329.39595211028785</v>
      </c>
    </row>
    <row r="24" spans="2:16" ht="15.6" x14ac:dyDescent="0.3">
      <c r="B24" s="6">
        <v>45068</v>
      </c>
      <c r="C24" s="7">
        <v>1921</v>
      </c>
      <c r="D24" s="16">
        <v>4</v>
      </c>
      <c r="E24" s="16" t="str">
        <v>Mon</v>
      </c>
      <c r="F24" s="92">
        <f t="shared" si="2"/>
        <v>1684.9746088807715</v>
      </c>
      <c r="G24" s="92">
        <f t="shared" si="3"/>
        <v>1.0968386984837106</v>
      </c>
      <c r="H24" s="82">
        <f t="shared" si="7"/>
        <v>1808.9159338198226</v>
      </c>
      <c r="I24" s="82">
        <f t="shared" si="4"/>
        <v>112.08406618017739</v>
      </c>
      <c r="J24" s="82">
        <f t="shared" si="5"/>
        <v>112.08406618017739</v>
      </c>
      <c r="K24" s="82">
        <f t="shared" si="6"/>
        <v>12562.837891482384</v>
      </c>
    </row>
    <row r="25" spans="2:16" ht="15.6" x14ac:dyDescent="0.3">
      <c r="B25" s="6">
        <v>45069</v>
      </c>
      <c r="C25" s="7">
        <v>1780</v>
      </c>
      <c r="D25" s="16">
        <v>4</v>
      </c>
      <c r="E25" s="16" t="str">
        <v>Tue</v>
      </c>
      <c r="F25" s="92">
        <f t="shared" si="2"/>
        <v>1579.7621370802267</v>
      </c>
      <c r="G25" s="92">
        <f t="shared" ref="G25:G30" si="8">$P$7*(C25/F25)+(1-$P$7)*G18</f>
        <v>1.2615063603253578</v>
      </c>
      <c r="H25" s="82">
        <f t="shared" si="7"/>
        <v>2107.50766727367</v>
      </c>
      <c r="I25" s="82">
        <f t="shared" si="4"/>
        <v>-327.50766727366999</v>
      </c>
      <c r="J25" s="82">
        <f t="shared" si="5"/>
        <v>327.50766727366999</v>
      </c>
      <c r="K25" s="82">
        <f t="shared" si="6"/>
        <v>107261.27212304094</v>
      </c>
    </row>
    <row r="26" spans="2:16" ht="15.6" x14ac:dyDescent="0.3">
      <c r="B26" s="6">
        <v>45070</v>
      </c>
      <c r="C26" s="7">
        <v>2071</v>
      </c>
      <c r="D26" s="16">
        <v>4</v>
      </c>
      <c r="E26" s="16" t="str">
        <v>Wed</v>
      </c>
      <c r="F26" s="92">
        <f t="shared" si="2"/>
        <v>1621.6695601182432</v>
      </c>
      <c r="G26" s="92">
        <f t="shared" si="8"/>
        <v>1.2298716980365698</v>
      </c>
      <c r="H26" s="82">
        <f t="shared" si="7"/>
        <v>1953.2238393182167</v>
      </c>
      <c r="I26" s="82">
        <f t="shared" si="4"/>
        <v>117.77616068178327</v>
      </c>
      <c r="J26" s="82">
        <f t="shared" si="5"/>
        <v>117.77616068178327</v>
      </c>
      <c r="K26" s="82">
        <f t="shared" si="6"/>
        <v>13871.224024941232</v>
      </c>
    </row>
    <row r="27" spans="2:16" ht="15.6" x14ac:dyDescent="0.3">
      <c r="B27" s="6">
        <v>45071</v>
      </c>
      <c r="C27" s="7">
        <v>1813</v>
      </c>
      <c r="D27" s="16">
        <v>4</v>
      </c>
      <c r="E27" s="16" t="str">
        <v>Thu</v>
      </c>
      <c r="F27" s="92">
        <f t="shared" si="2"/>
        <v>1623.4015703951327</v>
      </c>
      <c r="G27" s="92">
        <f t="shared" si="8"/>
        <v>1.1149882075081377</v>
      </c>
      <c r="H27" s="82">
        <f t="shared" si="7"/>
        <v>1808.4978569857917</v>
      </c>
      <c r="I27" s="82">
        <f t="shared" si="4"/>
        <v>4.5021430142082863</v>
      </c>
      <c r="J27" s="82">
        <f t="shared" si="5"/>
        <v>4.5021430142082863</v>
      </c>
      <c r="K27" s="82">
        <f t="shared" si="6"/>
        <v>20.269291720384473</v>
      </c>
    </row>
    <row r="28" spans="2:16" ht="15.6" x14ac:dyDescent="0.3">
      <c r="B28" s="6">
        <v>45072</v>
      </c>
      <c r="C28" s="7">
        <v>1780</v>
      </c>
      <c r="D28" s="16">
        <v>4</v>
      </c>
      <c r="E28" s="16" t="str">
        <v>Fri</v>
      </c>
      <c r="F28" s="92">
        <f t="shared" si="2"/>
        <v>1718.8478714615039</v>
      </c>
      <c r="G28" s="92">
        <f t="shared" si="8"/>
        <v>0.95836590933206645</v>
      </c>
      <c r="H28" s="82">
        <f t="shared" si="7"/>
        <v>1575.8233897487553</v>
      </c>
      <c r="I28" s="82">
        <f t="shared" si="4"/>
        <v>204.17661025124471</v>
      </c>
      <c r="J28" s="82">
        <f t="shared" si="5"/>
        <v>204.17661025124471</v>
      </c>
      <c r="K28" s="82">
        <f t="shared" si="6"/>
        <v>41688.088173688688</v>
      </c>
    </row>
    <row r="29" spans="2:16" ht="15.6" x14ac:dyDescent="0.3">
      <c r="B29" s="6">
        <v>45073</v>
      </c>
      <c r="C29" s="7">
        <v>1236</v>
      </c>
      <c r="D29" s="16">
        <v>4</v>
      </c>
      <c r="E29" s="16" t="str">
        <v>Sat</v>
      </c>
      <c r="F29" s="92">
        <f t="shared" si="2"/>
        <v>1724.6643624175522</v>
      </c>
      <c r="G29" s="92">
        <f t="shared" si="8"/>
        <v>0.71302407286376013</v>
      </c>
      <c r="H29" s="82">
        <f t="shared" si="7"/>
        <v>1226.3495507906816</v>
      </c>
      <c r="I29" s="82">
        <f t="shared" si="4"/>
        <v>9.6504492093183671</v>
      </c>
      <c r="J29" s="82">
        <f t="shared" si="5"/>
        <v>9.6504492093183671</v>
      </c>
      <c r="K29" s="82">
        <f t="shared" si="6"/>
        <v>93.131169941633502</v>
      </c>
    </row>
    <row r="30" spans="2:16" ht="15.6" x14ac:dyDescent="0.3">
      <c r="B30" s="6">
        <v>45074</v>
      </c>
      <c r="C30" s="7">
        <v>1082</v>
      </c>
      <c r="D30" s="16">
        <v>4</v>
      </c>
      <c r="E30" s="16" t="str">
        <v>Sun</v>
      </c>
      <c r="F30" s="92">
        <f t="shared" si="2"/>
        <v>1740.1674132900869</v>
      </c>
      <c r="G30" s="92">
        <f t="shared" si="8"/>
        <v>0.61354892804354766</v>
      </c>
      <c r="H30" s="82">
        <f t="shared" si="7"/>
        <v>1059.9659246776091</v>
      </c>
      <c r="I30" s="82">
        <f t="shared" si="4"/>
        <v>22.034075322390891</v>
      </c>
      <c r="J30" s="82">
        <f t="shared" si="5"/>
        <v>22.034075322390891</v>
      </c>
      <c r="K30" s="82">
        <f t="shared" si="6"/>
        <v>485.50047531279523</v>
      </c>
    </row>
    <row r="31" spans="2:16" ht="15.6" x14ac:dyDescent="0.3">
      <c r="B31" s="6">
        <v>45075</v>
      </c>
      <c r="C31" s="7">
        <v>1777</v>
      </c>
      <c r="D31" s="16">
        <v>5</v>
      </c>
      <c r="E31" s="16" t="str">
        <v>Mon</v>
      </c>
      <c r="F31" s="92">
        <f t="shared" si="2"/>
        <v>1704.1503687823833</v>
      </c>
      <c r="G31" s="92">
        <f>$P$7*(C31/F31)+(1-$P$7)*G24</f>
        <v>1.077907079554107</v>
      </c>
      <c r="H31" s="82">
        <f t="shared" si="7"/>
        <v>1869.1780725158048</v>
      </c>
      <c r="I31" s="82">
        <f t="shared" si="4"/>
        <v>-92.178072515804843</v>
      </c>
      <c r="J31" s="82">
        <f t="shared" si="5"/>
        <v>92.178072515804843</v>
      </c>
      <c r="K31" s="82">
        <f t="shared" si="6"/>
        <v>8496.7970527289763</v>
      </c>
    </row>
    <row r="32" spans="2:16" ht="15.6" x14ac:dyDescent="0.3">
      <c r="B32" s="6">
        <v>45076</v>
      </c>
      <c r="C32" s="7">
        <v>1766</v>
      </c>
      <c r="D32" s="16">
        <v>5</v>
      </c>
      <c r="E32" s="16" t="str">
        <v>Tue</v>
      </c>
      <c r="F32" s="92">
        <f t="shared" ref="F32:F37" si="9">$P$6*(C32/G25)+(1-$P$6)*F31</f>
        <v>1612.8793594778892</v>
      </c>
      <c r="G32" s="92">
        <f t="shared" ref="G32:G37" si="10">$P$7*(C32/F32)+(1-$P$7)*G25</f>
        <v>1.2032068048787341</v>
      </c>
      <c r="H32" s="82">
        <f t="shared" si="7"/>
        <v>2034.6575704188465</v>
      </c>
      <c r="I32" s="82">
        <f t="shared" si="4"/>
        <v>-268.65757041884649</v>
      </c>
      <c r="J32" s="82">
        <f t="shared" si="5"/>
        <v>268.65757041884649</v>
      </c>
      <c r="K32" s="82">
        <f t="shared" si="6"/>
        <v>72176.890143357465</v>
      </c>
    </row>
    <row r="33" spans="2:11" ht="15.6" x14ac:dyDescent="0.3">
      <c r="B33" s="6">
        <v>45077</v>
      </c>
      <c r="C33" s="7">
        <v>1884</v>
      </c>
      <c r="D33" s="16">
        <v>5</v>
      </c>
      <c r="E33" s="16" t="str">
        <v>Wed</v>
      </c>
      <c r="F33" s="92">
        <f t="shared" si="9"/>
        <v>1588.5756837217264</v>
      </c>
      <c r="G33" s="92">
        <f t="shared" si="10"/>
        <v>1.2145054199236716</v>
      </c>
      <c r="H33" s="82">
        <f t="shared" si="7"/>
        <v>1953.7442735984446</v>
      </c>
      <c r="I33" s="82">
        <f t="shared" si="4"/>
        <v>-69.744273598444579</v>
      </c>
      <c r="J33" s="82">
        <f t="shared" si="5"/>
        <v>69.744273598444579</v>
      </c>
      <c r="K33" s="82">
        <f t="shared" si="6"/>
        <v>4864.2636997746931</v>
      </c>
    </row>
    <row r="34" spans="2:11" ht="15.6" x14ac:dyDescent="0.3">
      <c r="B34" s="6">
        <v>45078</v>
      </c>
      <c r="C34" s="7">
        <v>1780</v>
      </c>
      <c r="D34" s="16">
        <v>5</v>
      </c>
      <c r="E34" s="16" t="str">
        <v>Thu</v>
      </c>
      <c r="F34" s="92">
        <f t="shared" si="9"/>
        <v>1590.931810680863</v>
      </c>
      <c r="G34" s="92">
        <f t="shared" si="10"/>
        <v>1.1163367425207891</v>
      </c>
      <c r="H34" s="82">
        <f t="shared" si="7"/>
        <v>1773.8702078587312</v>
      </c>
      <c r="I34" s="82">
        <f t="shared" si="4"/>
        <v>6.1297921412688083</v>
      </c>
      <c r="J34" s="82">
        <f t="shared" si="5"/>
        <v>6.1297921412688083</v>
      </c>
      <c r="K34" s="82">
        <f t="shared" si="6"/>
        <v>37.574351695160843</v>
      </c>
    </row>
    <row r="35" spans="2:11" ht="15.6" x14ac:dyDescent="0.3">
      <c r="B35" s="6">
        <v>45079</v>
      </c>
      <c r="C35" s="7">
        <v>1572</v>
      </c>
      <c r="D35" s="16">
        <v>5</v>
      </c>
      <c r="E35" s="16" t="str">
        <v>Fri</v>
      </c>
      <c r="F35" s="92">
        <f t="shared" si="9"/>
        <v>1605.7398880897806</v>
      </c>
      <c r="G35" s="92">
        <f t="shared" si="10"/>
        <v>0.96558362328809877</v>
      </c>
      <c r="H35" s="82">
        <f t="shared" si="7"/>
        <v>1538.8863679999331</v>
      </c>
      <c r="I35" s="82">
        <f t="shared" si="4"/>
        <v>33.1136320000669</v>
      </c>
      <c r="J35" s="82">
        <f t="shared" si="5"/>
        <v>33.1136320000669</v>
      </c>
      <c r="K35" s="82">
        <f t="shared" si="6"/>
        <v>1096.5126242358547</v>
      </c>
    </row>
    <row r="36" spans="2:11" ht="15.6" x14ac:dyDescent="0.3">
      <c r="B36" s="6">
        <v>45080</v>
      </c>
      <c r="C36" s="7">
        <v>948</v>
      </c>
      <c r="D36" s="16">
        <v>5</v>
      </c>
      <c r="E36" s="16" t="str">
        <v>Sat</v>
      </c>
      <c r="F36" s="92">
        <f t="shared" si="9"/>
        <v>1522.8824352517745</v>
      </c>
      <c r="G36" s="92">
        <f t="shared" si="10"/>
        <v>0.68134195371279049</v>
      </c>
      <c r="H36" s="82">
        <f t="shared" si="7"/>
        <v>1085.8518364759018</v>
      </c>
      <c r="I36" s="82">
        <f t="shared" si="4"/>
        <v>-137.85183647590179</v>
      </c>
      <c r="J36" s="82">
        <f t="shared" si="5"/>
        <v>137.85183647590179</v>
      </c>
      <c r="K36" s="82">
        <f t="shared" si="6"/>
        <v>19003.128819778769</v>
      </c>
    </row>
    <row r="37" spans="2:11" ht="15.6" x14ac:dyDescent="0.3">
      <c r="B37" s="6">
        <v>45081</v>
      </c>
      <c r="C37" s="7">
        <v>1085</v>
      </c>
      <c r="D37" s="16">
        <v>5</v>
      </c>
      <c r="E37" s="16" t="str">
        <v>Sun</v>
      </c>
      <c r="F37" s="92">
        <f t="shared" si="9"/>
        <v>1596.5377416648766</v>
      </c>
      <c r="G37" s="92">
        <f t="shared" si="10"/>
        <v>0.63666525786401973</v>
      </c>
      <c r="H37" s="82">
        <f t="shared" si="7"/>
        <v>979.55401997955153</v>
      </c>
      <c r="I37" s="82">
        <f t="shared" si="4"/>
        <v>105.44598002044847</v>
      </c>
      <c r="J37" s="82">
        <f t="shared" si="5"/>
        <v>105.44598002044847</v>
      </c>
      <c r="K37" s="82">
        <f t="shared" si="6"/>
        <v>11118.85470247282</v>
      </c>
    </row>
    <row r="38" spans="2:11" ht="15.6" x14ac:dyDescent="0.3">
      <c r="B38" s="6">
        <v>45082</v>
      </c>
      <c r="C38" s="7">
        <v>2917</v>
      </c>
      <c r="D38" s="16">
        <v>6</v>
      </c>
      <c r="E38" s="16" t="str">
        <v>Mon</v>
      </c>
      <c r="F38" s="92">
        <f>$P$6*(C38/G31)+(1-$P$6)*F37</f>
        <v>1929.4274744177817</v>
      </c>
      <c r="G38" s="92">
        <f>$P$7*(C38/F38)+(1-$P$7)*G31</f>
        <v>1.2297862079116175</v>
      </c>
      <c r="H38" s="82">
        <f t="shared" si="7"/>
        <v>2079.7435341611276</v>
      </c>
      <c r="I38" s="82">
        <f t="shared" si="4"/>
        <v>837.25646583887237</v>
      </c>
      <c r="J38" s="82">
        <f t="shared" si="5"/>
        <v>837.25646583887237</v>
      </c>
      <c r="K38" s="82">
        <f t="shared" si="6"/>
        <v>700998.38958899886</v>
      </c>
    </row>
    <row r="39" spans="2:11" ht="15.6" x14ac:dyDescent="0.3">
      <c r="B39" s="6">
        <v>45083</v>
      </c>
      <c r="C39" s="7">
        <v>2801</v>
      </c>
      <c r="D39" s="16">
        <v>6</v>
      </c>
      <c r="E39" s="16" t="str">
        <v>Tue</v>
      </c>
      <c r="F39" s="92">
        <f t="shared" ref="F39:F44" si="11">$P$6*(C39/G32)+(1-$P$6)*F38</f>
        <v>2048.9829152571133</v>
      </c>
      <c r="G39" s="92">
        <f t="shared" ref="G39:G44" si="12">$P$7*(C39/F39)+(1-$P$7)*G32</f>
        <v>1.260541316442531</v>
      </c>
      <c r="H39" s="82">
        <f t="shared" si="7"/>
        <v>2465.3501867176251</v>
      </c>
      <c r="I39" s="82">
        <f t="shared" si="4"/>
        <v>335.64981328237491</v>
      </c>
      <c r="J39" s="82">
        <f t="shared" si="5"/>
        <v>335.64981328237491</v>
      </c>
      <c r="K39" s="82">
        <f t="shared" si="6"/>
        <v>112660.79715649314</v>
      </c>
    </row>
    <row r="40" spans="2:11" ht="15.6" x14ac:dyDescent="0.3">
      <c r="B40" s="6">
        <v>45084</v>
      </c>
      <c r="C40" s="7">
        <v>3075</v>
      </c>
      <c r="D40" s="16">
        <v>6</v>
      </c>
      <c r="E40" s="16" t="str">
        <v>Wed</v>
      </c>
      <c r="F40" s="92">
        <f t="shared" si="11"/>
        <v>2193.8564912332727</v>
      </c>
      <c r="G40" s="92">
        <f t="shared" si="12"/>
        <v>1.2800029995858149</v>
      </c>
      <c r="H40" s="82">
        <f t="shared" si="7"/>
        <v>2664.4505991375386</v>
      </c>
      <c r="I40" s="82">
        <f t="shared" si="4"/>
        <v>410.54940086246143</v>
      </c>
      <c r="J40" s="82">
        <f t="shared" si="5"/>
        <v>410.54940086246143</v>
      </c>
      <c r="K40" s="82">
        <f t="shared" si="6"/>
        <v>168550.81054852603</v>
      </c>
    </row>
    <row r="41" spans="2:11" ht="15.6" x14ac:dyDescent="0.3">
      <c r="B41" s="6">
        <v>45085</v>
      </c>
      <c r="C41" s="7">
        <v>2737</v>
      </c>
      <c r="D41" s="16">
        <v>6</v>
      </c>
      <c r="E41" s="16" t="str">
        <v>Thu</v>
      </c>
      <c r="F41" s="92">
        <f t="shared" si="11"/>
        <v>2271.2302925385357</v>
      </c>
      <c r="G41" s="92">
        <f t="shared" si="12"/>
        <v>1.1473946942535065</v>
      </c>
      <c r="H41" s="82">
        <f t="shared" si="7"/>
        <v>2535.4578262870077</v>
      </c>
      <c r="I41" s="82">
        <f t="shared" si="4"/>
        <v>201.54217371299228</v>
      </c>
      <c r="J41" s="82">
        <f t="shared" si="5"/>
        <v>201.54217371299228</v>
      </c>
      <c r="K41" s="82">
        <f t="shared" si="6"/>
        <v>40619.247784957959</v>
      </c>
    </row>
    <row r="42" spans="2:11" ht="15.6" x14ac:dyDescent="0.3">
      <c r="B42" s="6">
        <v>45086</v>
      </c>
      <c r="C42" s="7">
        <v>2329</v>
      </c>
      <c r="D42" s="16">
        <v>6</v>
      </c>
      <c r="E42" s="16" t="str">
        <v>Fri</v>
      </c>
      <c r="F42" s="92">
        <f t="shared" si="11"/>
        <v>2313.465026495408</v>
      </c>
      <c r="G42" s="92">
        <f t="shared" si="12"/>
        <v>0.97997961358696462</v>
      </c>
      <c r="H42" s="82">
        <f t="shared" si="7"/>
        <v>2233.8439426337336</v>
      </c>
      <c r="I42" s="82">
        <f t="shared" si="4"/>
        <v>95.156057366266396</v>
      </c>
      <c r="J42" s="82">
        <f t="shared" si="5"/>
        <v>95.156057366266396</v>
      </c>
      <c r="K42" s="82">
        <f t="shared" si="6"/>
        <v>9054.6752534921816</v>
      </c>
    </row>
    <row r="43" spans="2:11" ht="15.6" x14ac:dyDescent="0.3">
      <c r="B43" s="6">
        <v>45087</v>
      </c>
      <c r="C43" s="7">
        <v>1540</v>
      </c>
      <c r="D43" s="16">
        <v>6</v>
      </c>
      <c r="E43" s="16" t="str">
        <v>Sat</v>
      </c>
      <c r="F43" s="92">
        <f t="shared" si="11"/>
        <v>2297.4991311908548</v>
      </c>
      <c r="G43" s="92">
        <f t="shared" si="12"/>
        <v>0.67747518779151217</v>
      </c>
      <c r="H43" s="82">
        <f t="shared" si="7"/>
        <v>1565.3825466990158</v>
      </c>
      <c r="I43" s="82">
        <f t="shared" si="4"/>
        <v>-25.382546699015847</v>
      </c>
      <c r="J43" s="82">
        <f t="shared" si="5"/>
        <v>25.382546699015847</v>
      </c>
      <c r="K43" s="82">
        <f t="shared" si="6"/>
        <v>644.27367692772032</v>
      </c>
    </row>
    <row r="44" spans="2:11" ht="15.6" x14ac:dyDescent="0.3">
      <c r="B44" s="6">
        <v>45088</v>
      </c>
      <c r="C44" s="7">
        <v>1787</v>
      </c>
      <c r="D44" s="16">
        <v>6</v>
      </c>
      <c r="E44" s="16" t="str">
        <v>Sun</v>
      </c>
      <c r="F44" s="92">
        <f t="shared" si="11"/>
        <v>2450.2931399070976</v>
      </c>
      <c r="G44" s="92">
        <f t="shared" si="12"/>
        <v>0.66908759088598835</v>
      </c>
      <c r="H44" s="82">
        <f t="shared" si="7"/>
        <v>1560.0165137613908</v>
      </c>
      <c r="I44" s="82">
        <f t="shared" si="4"/>
        <v>226.9834862386092</v>
      </c>
      <c r="J44" s="82">
        <f t="shared" si="5"/>
        <v>226.9834862386092</v>
      </c>
      <c r="K44" s="82">
        <f t="shared" si="6"/>
        <v>51521.503025032893</v>
      </c>
    </row>
    <row r="45" spans="2:11" ht="15.6" x14ac:dyDescent="0.3">
      <c r="B45" s="6">
        <v>45089</v>
      </c>
      <c r="C45" s="7">
        <v>3102</v>
      </c>
      <c r="D45" s="16">
        <v>7</v>
      </c>
      <c r="E45" s="16" t="str">
        <v>Mon</v>
      </c>
      <c r="F45" s="92">
        <f>$P$6*(C45/G38)+(1-$P$6)*F44</f>
        <v>2471.9220923131497</v>
      </c>
      <c r="G45" s="92">
        <f>$P$7*(C45/F45)+(1-$P$7)*G38</f>
        <v>1.238573906525579</v>
      </c>
      <c r="H45" s="82">
        <f t="shared" si="7"/>
        <v>3039.9356961587396</v>
      </c>
      <c r="I45" s="82">
        <f t="shared" si="4"/>
        <v>62.064303841260426</v>
      </c>
      <c r="J45" s="82">
        <f t="shared" si="5"/>
        <v>62.064303841260426</v>
      </c>
      <c r="K45" s="82">
        <f t="shared" si="6"/>
        <v>3851.9778113002935</v>
      </c>
    </row>
    <row r="46" spans="2:11" ht="15.6" x14ac:dyDescent="0.3">
      <c r="B46" s="6">
        <v>45090</v>
      </c>
      <c r="C46" s="7">
        <v>2403</v>
      </c>
      <c r="D46" s="16">
        <v>7</v>
      </c>
      <c r="E46" s="16" t="str">
        <v>Tue</v>
      </c>
      <c r="F46" s="92">
        <f t="shared" ref="F46:F51" si="13">$P$6*(C46/G39)+(1-$P$6)*F45</f>
        <v>2302.2426254631719</v>
      </c>
      <c r="G46" s="92">
        <f t="shared" ref="G46:G51" si="14">$P$7*(C46/F46)+(1-$P$7)*G39</f>
        <v>1.1846695640376914</v>
      </c>
      <c r="H46" s="82">
        <f t="shared" si="7"/>
        <v>2902.0719498714557</v>
      </c>
      <c r="I46" s="82">
        <f t="shared" si="4"/>
        <v>-499.07194987145567</v>
      </c>
      <c r="J46" s="82">
        <f t="shared" si="5"/>
        <v>499.07194987145567</v>
      </c>
      <c r="K46" s="82">
        <f t="shared" si="6"/>
        <v>249072.81114849675</v>
      </c>
    </row>
    <row r="47" spans="2:11" ht="15.6" x14ac:dyDescent="0.3">
      <c r="B47" s="6">
        <v>45091</v>
      </c>
      <c r="C47" s="7">
        <v>2927</v>
      </c>
      <c r="D47" s="16">
        <v>7</v>
      </c>
      <c r="E47" s="16" t="str">
        <v>Wed</v>
      </c>
      <c r="F47" s="92">
        <f t="shared" si="13"/>
        <v>2297.583855200849</v>
      </c>
      <c r="G47" s="92">
        <f t="shared" si="14"/>
        <v>1.2778833906544864</v>
      </c>
      <c r="H47" s="82">
        <f t="shared" si="7"/>
        <v>2940.9142264570273</v>
      </c>
      <c r="I47" s="82">
        <f t="shared" si="4"/>
        <v>-13.914226457027326</v>
      </c>
      <c r="J47" s="82">
        <f t="shared" si="5"/>
        <v>13.914226457027326</v>
      </c>
      <c r="K47" s="82">
        <f t="shared" si="6"/>
        <v>193.6056978974392</v>
      </c>
    </row>
    <row r="48" spans="2:11" ht="15.6" x14ac:dyDescent="0.3">
      <c r="B48" s="6">
        <v>45092</v>
      </c>
      <c r="C48" s="7">
        <v>3213</v>
      </c>
      <c r="D48" s="16">
        <v>7</v>
      </c>
      <c r="E48" s="16" t="str">
        <v>Thu</v>
      </c>
      <c r="F48" s="92">
        <f t="shared" si="13"/>
        <v>2448.3857922749798</v>
      </c>
      <c r="G48" s="92">
        <f t="shared" si="14"/>
        <v>1.2051091675224466</v>
      </c>
      <c r="H48" s="82">
        <f t="shared" si="7"/>
        <v>2809.2648675419796</v>
      </c>
      <c r="I48" s="82">
        <f t="shared" si="4"/>
        <v>403.73513245802042</v>
      </c>
      <c r="J48" s="82">
        <f t="shared" si="5"/>
        <v>403.73513245802042</v>
      </c>
      <c r="K48" s="82">
        <f t="shared" si="6"/>
        <v>163002.0571808953</v>
      </c>
    </row>
    <row r="49" spans="2:11" ht="15.6" x14ac:dyDescent="0.3">
      <c r="B49" s="6">
        <v>45093</v>
      </c>
      <c r="C49" s="7">
        <v>2194</v>
      </c>
      <c r="D49" s="16">
        <v>7</v>
      </c>
      <c r="E49" s="16" t="str">
        <v>Fri</v>
      </c>
      <c r="F49" s="92">
        <f t="shared" si="13"/>
        <v>2385.5166795572923</v>
      </c>
      <c r="G49" s="92">
        <f t="shared" si="14"/>
        <v>0.95888766303620487</v>
      </c>
      <c r="H49" s="82">
        <f t="shared" si="7"/>
        <v>2337.7577138378142</v>
      </c>
      <c r="I49" s="82">
        <f t="shared" si="4"/>
        <v>-143.75771383781421</v>
      </c>
      <c r="J49" s="82">
        <f t="shared" si="5"/>
        <v>143.75771383781421</v>
      </c>
      <c r="K49" s="82">
        <f t="shared" si="6"/>
        <v>20666.280287874877</v>
      </c>
    </row>
    <row r="50" spans="2:11" ht="15.6" x14ac:dyDescent="0.3">
      <c r="B50" s="6">
        <v>45094</v>
      </c>
      <c r="C50" s="7">
        <v>1780</v>
      </c>
      <c r="D50" s="16">
        <v>7</v>
      </c>
      <c r="E50" s="16" t="str">
        <v>Sat</v>
      </c>
      <c r="F50" s="92">
        <f t="shared" si="13"/>
        <v>2458.0824247639944</v>
      </c>
      <c r="G50" s="92">
        <f t="shared" si="14"/>
        <v>0.69380846908514249</v>
      </c>
      <c r="H50" s="82">
        <f t="shared" si="7"/>
        <v>1665.2898523240026</v>
      </c>
      <c r="I50" s="82">
        <f t="shared" si="4"/>
        <v>114.7101476759974</v>
      </c>
      <c r="J50" s="82">
        <f t="shared" si="5"/>
        <v>114.7101476759974</v>
      </c>
      <c r="K50" s="82">
        <f t="shared" si="6"/>
        <v>13158.417979849133</v>
      </c>
    </row>
    <row r="51" spans="2:11" ht="15.6" x14ac:dyDescent="0.3">
      <c r="B51" s="6">
        <v>45095</v>
      </c>
      <c r="C51" s="7">
        <v>1408</v>
      </c>
      <c r="D51" s="16">
        <v>7</v>
      </c>
      <c r="E51" s="16" t="str">
        <v>Sun</v>
      </c>
      <c r="F51" s="92">
        <f t="shared" si="13"/>
        <v>2351.9651759874323</v>
      </c>
      <c r="G51" s="92">
        <f t="shared" si="14"/>
        <v>0.64443384588193409</v>
      </c>
      <c r="H51" s="82">
        <f t="shared" si="7"/>
        <v>1573.6707134491708</v>
      </c>
      <c r="I51" s="82">
        <f t="shared" si="4"/>
        <v>-165.67071344917076</v>
      </c>
      <c r="J51" s="82">
        <f t="shared" si="5"/>
        <v>165.67071344917076</v>
      </c>
      <c r="K51" s="82">
        <f t="shared" si="6"/>
        <v>27446.78529475725</v>
      </c>
    </row>
    <row r="52" spans="2:11" ht="15.6" x14ac:dyDescent="0.3">
      <c r="B52" s="10">
        <v>45096</v>
      </c>
      <c r="C52" s="11">
        <v>2920</v>
      </c>
      <c r="D52" s="85">
        <v>8</v>
      </c>
      <c r="E52" s="85" t="str">
        <v>Mon</v>
      </c>
      <c r="F52" s="93">
        <f>$F$51</f>
        <v>2351.9651759874323</v>
      </c>
      <c r="G52" s="93"/>
      <c r="H52" s="88">
        <f t="shared" si="7"/>
        <v>2913.082696034875</v>
      </c>
      <c r="I52" s="88">
        <f t="shared" si="4"/>
        <v>6.9173039651250292</v>
      </c>
      <c r="J52" s="88">
        <f t="shared" si="5"/>
        <v>6.9173039651250292</v>
      </c>
      <c r="K52" s="88">
        <f t="shared" si="6"/>
        <v>47.849094145934451</v>
      </c>
    </row>
    <row r="53" spans="2:11" ht="15.6" x14ac:dyDescent="0.3">
      <c r="B53" s="10">
        <v>45097</v>
      </c>
      <c r="C53" s="11">
        <v>2647</v>
      </c>
      <c r="D53" s="85">
        <v>8</v>
      </c>
      <c r="E53" s="85" t="str">
        <v>Tue</v>
      </c>
      <c r="F53" s="93">
        <f t="shared" ref="F53:F58" si="15">$F$51</f>
        <v>2351.9651759874323</v>
      </c>
      <c r="G53" s="93"/>
      <c r="H53" s="88">
        <f t="shared" si="7"/>
        <v>2786.3015596688638</v>
      </c>
      <c r="I53" s="88">
        <f t="shared" si="4"/>
        <v>-139.30155966886377</v>
      </c>
      <c r="J53" s="88">
        <f t="shared" si="5"/>
        <v>139.30155966886377</v>
      </c>
      <c r="K53" s="88">
        <f t="shared" si="6"/>
        <v>19404.924526178016</v>
      </c>
    </row>
    <row r="54" spans="2:11" ht="15.6" x14ac:dyDescent="0.3">
      <c r="B54" s="10">
        <v>45098</v>
      </c>
      <c r="C54" s="11">
        <v>3020</v>
      </c>
      <c r="D54" s="85">
        <v>8</v>
      </c>
      <c r="E54" s="85" t="str">
        <v>Wed</v>
      </c>
      <c r="F54" s="93">
        <f t="shared" si="15"/>
        <v>2351.9651759874323</v>
      </c>
      <c r="G54" s="93"/>
      <c r="H54" s="88">
        <f t="shared" si="7"/>
        <v>3005.5372337920958</v>
      </c>
      <c r="I54" s="88">
        <f t="shared" si="4"/>
        <v>14.462766207904224</v>
      </c>
      <c r="J54" s="88">
        <f t="shared" si="5"/>
        <v>14.462766207904224</v>
      </c>
      <c r="K54" s="88">
        <f t="shared" si="6"/>
        <v>209.17160638449633</v>
      </c>
    </row>
    <row r="55" spans="2:11" ht="15.6" x14ac:dyDescent="0.3">
      <c r="B55" s="10">
        <v>45099</v>
      </c>
      <c r="C55" s="11">
        <v>2338</v>
      </c>
      <c r="D55" s="85">
        <v>8</v>
      </c>
      <c r="E55" s="85" t="str">
        <v>Thu</v>
      </c>
      <c r="F55" s="93">
        <f t="shared" si="15"/>
        <v>2351.9651759874323</v>
      </c>
      <c r="G55" s="93"/>
      <c r="H55" s="88">
        <f t="shared" si="7"/>
        <v>2834.3747952759991</v>
      </c>
      <c r="I55" s="88">
        <f t="shared" si="4"/>
        <v>-496.37479527599908</v>
      </c>
      <c r="J55" s="88">
        <f t="shared" si="5"/>
        <v>496.37479527599908</v>
      </c>
      <c r="K55" s="88">
        <f t="shared" si="6"/>
        <v>246387.93738528999</v>
      </c>
    </row>
    <row r="56" spans="2:11" ht="15.6" x14ac:dyDescent="0.3">
      <c r="B56" s="10">
        <v>45100</v>
      </c>
      <c r="C56" s="11">
        <v>2950</v>
      </c>
      <c r="D56" s="85">
        <v>8</v>
      </c>
      <c r="E56" s="86" t="str" cm="1">
        <f t="array" ref="E56:E58">'2.3 Identify Seasonality'!G56:G58</f>
        <v>Fri</v>
      </c>
      <c r="F56" s="93">
        <f t="shared" si="15"/>
        <v>2351.9651759874323</v>
      </c>
      <c r="G56" s="93"/>
      <c r="H56" s="88">
        <f t="shared" si="7"/>
        <v>2255.2703911451254</v>
      </c>
      <c r="I56" s="88">
        <f t="shared" si="4"/>
        <v>694.72960885487464</v>
      </c>
      <c r="J56" s="88">
        <f t="shared" si="5"/>
        <v>694.72960885487464</v>
      </c>
      <c r="K56" s="88">
        <f t="shared" si="6"/>
        <v>482649.22941964713</v>
      </c>
    </row>
    <row r="57" spans="2:11" ht="15.6" x14ac:dyDescent="0.3">
      <c r="B57" s="10">
        <v>45101</v>
      </c>
      <c r="C57" s="11">
        <v>1601</v>
      </c>
      <c r="D57" s="85">
        <v>8</v>
      </c>
      <c r="E57" s="85" t="str">
        <v>Sat</v>
      </c>
      <c r="F57" s="93">
        <f t="shared" si="15"/>
        <v>2351.9651759874323</v>
      </c>
      <c r="G57" s="93"/>
      <c r="H57" s="88">
        <f t="shared" si="7"/>
        <v>1631.8133580934082</v>
      </c>
      <c r="I57" s="88">
        <f t="shared" si="4"/>
        <v>-30.813358093408169</v>
      </c>
      <c r="J57" s="88">
        <f t="shared" si="5"/>
        <v>30.813358093408169</v>
      </c>
      <c r="K57" s="88">
        <f t="shared" si="6"/>
        <v>949.46303699260272</v>
      </c>
    </row>
    <row r="58" spans="2:11" ht="15.6" x14ac:dyDescent="0.3">
      <c r="B58" s="10">
        <v>45102</v>
      </c>
      <c r="C58" s="11">
        <v>1615</v>
      </c>
      <c r="D58" s="85">
        <v>8</v>
      </c>
      <c r="E58" s="85" t="str">
        <v>Sun</v>
      </c>
      <c r="F58" s="93">
        <f t="shared" si="15"/>
        <v>2351.9651759874323</v>
      </c>
      <c r="G58" s="93"/>
      <c r="H58" s="88">
        <f t="shared" si="7"/>
        <v>1515.6859637419609</v>
      </c>
      <c r="I58" s="88">
        <f t="shared" si="4"/>
        <v>99.314036258039096</v>
      </c>
      <c r="J58" s="88">
        <f t="shared" si="5"/>
        <v>99.314036258039096</v>
      </c>
      <c r="K58" s="88">
        <f t="shared" si="6"/>
        <v>9863.2777978631038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FBB8-305A-42E1-8F53-CA39F7E4E9EB}">
  <dimension ref="B5:R43"/>
  <sheetViews>
    <sheetView topLeftCell="A11" zoomScale="70" zoomScaleNormal="70" workbookViewId="0">
      <selection activeCell="R24" sqref="R24"/>
    </sheetView>
  </sheetViews>
  <sheetFormatPr defaultRowHeight="14.4" x14ac:dyDescent="0.3"/>
  <cols>
    <col min="2" max="2" width="22.44140625" customWidth="1"/>
    <col min="3" max="3" width="16.6640625" customWidth="1"/>
    <col min="4" max="4" width="14.44140625" customWidth="1"/>
    <col min="5" max="5" width="13.6640625" customWidth="1"/>
    <col min="6" max="6" width="22.21875" customWidth="1"/>
    <col min="7" max="7" width="13.109375" customWidth="1"/>
    <col min="9" max="9" width="17.21875" customWidth="1"/>
    <col min="10" max="10" width="10.44140625" customWidth="1"/>
    <col min="11" max="11" width="5.6640625" customWidth="1"/>
    <col min="13" max="13" width="11.88671875" customWidth="1"/>
    <col min="17" max="17" width="10.88671875" customWidth="1"/>
  </cols>
  <sheetData>
    <row r="5" spans="2:11" x14ac:dyDescent="0.3">
      <c r="B5" s="41" t="s">
        <v>44</v>
      </c>
      <c r="C5" s="41" t="s">
        <v>45</v>
      </c>
      <c r="D5" s="41" t="s">
        <v>47</v>
      </c>
      <c r="E5" s="41" t="s">
        <v>48</v>
      </c>
      <c r="F5" s="41" t="s">
        <v>44</v>
      </c>
      <c r="I5" s="39" t="s">
        <v>49</v>
      </c>
      <c r="J5" s="18">
        <v>500</v>
      </c>
      <c r="K5" s="13"/>
    </row>
    <row r="6" spans="2:11" x14ac:dyDescent="0.3">
      <c r="B6" s="14">
        <v>0</v>
      </c>
      <c r="C6" s="17">
        <v>0.05</v>
      </c>
      <c r="D6" s="17">
        <f>SUM($C$6:C6)</f>
        <v>0.05</v>
      </c>
      <c r="E6" s="14">
        <v>0</v>
      </c>
      <c r="F6" s="14">
        <v>0</v>
      </c>
      <c r="I6" s="39" t="s">
        <v>50</v>
      </c>
      <c r="J6" s="18">
        <v>10</v>
      </c>
      <c r="K6" s="12"/>
    </row>
    <row r="7" spans="2:11" x14ac:dyDescent="0.3">
      <c r="B7" s="14">
        <v>1</v>
      </c>
      <c r="C7" s="17">
        <v>0.1</v>
      </c>
      <c r="D7" s="17">
        <f>SUM($C$6:C7)</f>
        <v>0.15000000000000002</v>
      </c>
      <c r="E7" s="17">
        <f>D6</f>
        <v>0.05</v>
      </c>
      <c r="F7" s="14">
        <v>1</v>
      </c>
      <c r="I7" s="39" t="s">
        <v>51</v>
      </c>
      <c r="J7" s="18">
        <v>20</v>
      </c>
      <c r="K7" s="12"/>
    </row>
    <row r="8" spans="2:11" x14ac:dyDescent="0.3">
      <c r="B8" s="14">
        <v>2</v>
      </c>
      <c r="C8" s="17">
        <v>0.2</v>
      </c>
      <c r="D8" s="17">
        <f>SUM($C$6:C8)</f>
        <v>0.35000000000000003</v>
      </c>
      <c r="E8" s="17">
        <f>D7</f>
        <v>0.15000000000000002</v>
      </c>
      <c r="F8" s="14">
        <v>2</v>
      </c>
      <c r="K8" s="12"/>
    </row>
    <row r="9" spans="2:11" x14ac:dyDescent="0.3">
      <c r="B9" s="14">
        <v>3</v>
      </c>
      <c r="C9" s="17">
        <v>0.45</v>
      </c>
      <c r="D9" s="17">
        <f>SUM($C$6:C9)</f>
        <v>0.8</v>
      </c>
      <c r="E9" s="17">
        <f>D8</f>
        <v>0.35000000000000003</v>
      </c>
      <c r="F9" s="14">
        <v>3</v>
      </c>
      <c r="I9" s="39" t="s">
        <v>52</v>
      </c>
      <c r="J9" s="14">
        <v>10</v>
      </c>
      <c r="K9" s="12"/>
    </row>
    <row r="10" spans="2:11" x14ac:dyDescent="0.3">
      <c r="B10" s="14">
        <v>4</v>
      </c>
      <c r="C10" s="17">
        <v>0.2</v>
      </c>
      <c r="D10" s="17">
        <f>SUM($C$6:C10)</f>
        <v>1</v>
      </c>
      <c r="E10" s="17">
        <f>D9</f>
        <v>0.8</v>
      </c>
      <c r="F10" s="14">
        <v>4</v>
      </c>
      <c r="I10" s="39" t="s">
        <v>53</v>
      </c>
      <c r="J10" s="14">
        <v>2</v>
      </c>
      <c r="K10" s="12"/>
    </row>
    <row r="11" spans="2:11" x14ac:dyDescent="0.3">
      <c r="I11" s="39" t="s">
        <v>54</v>
      </c>
      <c r="J11" s="14">
        <v>10</v>
      </c>
      <c r="K11" s="12"/>
    </row>
    <row r="12" spans="2:11" x14ac:dyDescent="0.3">
      <c r="I12" s="12"/>
      <c r="K12" s="12"/>
    </row>
    <row r="13" spans="2:11" x14ac:dyDescent="0.3">
      <c r="B13" s="41" t="s">
        <v>46</v>
      </c>
      <c r="C13" s="41" t="s">
        <v>45</v>
      </c>
      <c r="D13" s="41" t="s">
        <v>47</v>
      </c>
      <c r="E13" s="41" t="s">
        <v>48</v>
      </c>
      <c r="F13" s="41" t="s">
        <v>46</v>
      </c>
      <c r="I13" s="12"/>
      <c r="K13" s="12"/>
    </row>
    <row r="14" spans="2:11" x14ac:dyDescent="0.3">
      <c r="B14" s="14">
        <v>2</v>
      </c>
      <c r="C14" s="17">
        <v>0.5</v>
      </c>
      <c r="D14" s="17">
        <f>SUM(C$14:C14)</f>
        <v>0.5</v>
      </c>
      <c r="E14" s="14">
        <v>0</v>
      </c>
      <c r="F14" s="14">
        <v>2</v>
      </c>
      <c r="I14" s="12"/>
      <c r="K14" s="12"/>
    </row>
    <row r="15" spans="2:11" x14ac:dyDescent="0.3">
      <c r="B15" s="14">
        <v>3</v>
      </c>
      <c r="C15" s="17">
        <v>0.25</v>
      </c>
      <c r="D15" s="17">
        <f>SUM(C$14:C15)</f>
        <v>0.75</v>
      </c>
      <c r="E15" s="17">
        <f>D14</f>
        <v>0.5</v>
      </c>
      <c r="F15" s="14">
        <v>3</v>
      </c>
      <c r="I15" s="12"/>
      <c r="K15" s="12"/>
    </row>
    <row r="16" spans="2:11" x14ac:dyDescent="0.3">
      <c r="B16" s="14">
        <v>4</v>
      </c>
      <c r="C16" s="17">
        <v>0.15</v>
      </c>
      <c r="D16" s="17">
        <f>SUM(C$14:C16)</f>
        <v>0.9</v>
      </c>
      <c r="E16" s="17">
        <f>D15</f>
        <v>0.75</v>
      </c>
      <c r="F16" s="14">
        <v>4</v>
      </c>
      <c r="I16" s="12"/>
      <c r="K16" s="12"/>
    </row>
    <row r="17" spans="2:18" x14ac:dyDescent="0.3">
      <c r="B17" s="14">
        <v>5</v>
      </c>
      <c r="C17" s="17">
        <v>0.1</v>
      </c>
      <c r="D17" s="17">
        <f>SUM(C$14:C17)</f>
        <v>1</v>
      </c>
      <c r="E17" s="17">
        <f>D16</f>
        <v>0.9</v>
      </c>
      <c r="F17" s="14">
        <v>5</v>
      </c>
    </row>
    <row r="19" spans="2:18" x14ac:dyDescent="0.3">
      <c r="I19" s="36" t="s">
        <v>72</v>
      </c>
      <c r="J19" s="36"/>
      <c r="L19" s="38" t="s">
        <v>77</v>
      </c>
      <c r="M19" s="38"/>
      <c r="O19" s="38" t="s">
        <v>78</v>
      </c>
      <c r="P19" s="38"/>
      <c r="Q19" s="38"/>
      <c r="R19" s="38"/>
    </row>
    <row r="20" spans="2:18" x14ac:dyDescent="0.3">
      <c r="B20" s="41" t="s">
        <v>10</v>
      </c>
      <c r="C20" s="42" t="s">
        <v>69</v>
      </c>
      <c r="D20" s="41" t="s">
        <v>70</v>
      </c>
      <c r="E20" s="41" t="s">
        <v>68</v>
      </c>
      <c r="F20" s="41" t="s">
        <v>71</v>
      </c>
      <c r="G20" s="41" t="s">
        <v>55</v>
      </c>
      <c r="I20" s="37" t="s">
        <v>73</v>
      </c>
      <c r="J20" s="37" t="s">
        <v>74</v>
      </c>
      <c r="L20" s="40" t="s">
        <v>75</v>
      </c>
      <c r="M20" s="40" t="s">
        <v>76</v>
      </c>
      <c r="O20" s="40" t="s">
        <v>77</v>
      </c>
      <c r="P20" s="40" t="s">
        <v>79</v>
      </c>
      <c r="Q20" s="40" t="s">
        <v>80</v>
      </c>
      <c r="R20" s="40" t="s">
        <v>81</v>
      </c>
    </row>
    <row r="21" spans="2:18" x14ac:dyDescent="0.3">
      <c r="B21" s="14">
        <v>1</v>
      </c>
      <c r="C21" s="17">
        <f>'4.2 Random Numbers'!B3</f>
        <v>0.10892056031983398</v>
      </c>
      <c r="D21" s="14">
        <f>VLOOKUP(C21,E6:F10,2)</f>
        <v>1</v>
      </c>
      <c r="E21" s="14"/>
      <c r="F21" s="14"/>
      <c r="G21" s="14">
        <v>0</v>
      </c>
      <c r="I21" s="34">
        <f>J9</f>
        <v>10</v>
      </c>
      <c r="J21" s="34">
        <f>I21-G21</f>
        <v>10</v>
      </c>
      <c r="L21" s="14">
        <f>IF(J21&lt;=$J$10,$J$11,0)</f>
        <v>0</v>
      </c>
      <c r="M21" s="14">
        <v>0</v>
      </c>
      <c r="O21" s="14">
        <f>IF(L21&lt;&gt;0,$J$5,0)</f>
        <v>0</v>
      </c>
      <c r="P21" s="14">
        <f>IF(J21&gt;=0,J21*$J$6,0)</f>
        <v>100</v>
      </c>
      <c r="Q21" s="14">
        <f>IF(J21&lt;0,-J21*$J$7,0)</f>
        <v>0</v>
      </c>
      <c r="R21" s="14">
        <f>SUM(O21:Q21)</f>
        <v>100</v>
      </c>
    </row>
    <row r="22" spans="2:18" x14ac:dyDescent="0.3">
      <c r="B22" s="14"/>
      <c r="C22" s="18"/>
      <c r="D22" s="14"/>
      <c r="E22" s="14"/>
      <c r="F22" s="14"/>
      <c r="G22" s="14"/>
      <c r="I22" s="34"/>
      <c r="J22" s="34"/>
      <c r="L22" s="14"/>
      <c r="M22" s="14"/>
      <c r="O22" s="14">
        <f t="shared" ref="O22:O39" si="0">IF(L22&lt;&gt;0,$J$5,0)</f>
        <v>0</v>
      </c>
      <c r="P22" s="14">
        <f t="shared" ref="P22:P39" si="1">IF(J22&gt;=0,J22*$J$6,0)</f>
        <v>0</v>
      </c>
      <c r="Q22" s="14">
        <f t="shared" ref="Q22:Q39" si="2">IF(J22&lt;0,-J22*$J$7,0)</f>
        <v>0</v>
      </c>
      <c r="R22" s="14">
        <f t="shared" ref="R22:R39" si="3">SUM(O22:Q22)</f>
        <v>0</v>
      </c>
    </row>
    <row r="23" spans="2:18" x14ac:dyDescent="0.3">
      <c r="B23" s="14">
        <v>2</v>
      </c>
      <c r="C23" s="19">
        <f>'4.2 Random Numbers'!B4</f>
        <v>0.41776787621692557</v>
      </c>
      <c r="D23" s="14">
        <f>VLOOKUP(C23,E6:F10,2)</f>
        <v>3</v>
      </c>
      <c r="E23" s="14" cm="1">
        <f t="array" ref="E23:E25">'4.2 Random Numbers'!C3:C5</f>
        <v>0.73311563463240459</v>
      </c>
      <c r="F23" s="14">
        <f>VLOOKUP(E23,$E$14:$F$17,2)</f>
        <v>3</v>
      </c>
      <c r="G23" s="14">
        <f>SUM(F23:F25)</f>
        <v>12</v>
      </c>
      <c r="I23" s="34">
        <f>J21+M23</f>
        <v>10</v>
      </c>
      <c r="J23" s="34">
        <f>I23-G23</f>
        <v>-2</v>
      </c>
      <c r="L23" s="14">
        <f>IF(J23&lt;=$J$10,$J$11,0)</f>
        <v>10</v>
      </c>
      <c r="M23" s="14">
        <f>L21</f>
        <v>0</v>
      </c>
      <c r="O23" s="14">
        <f t="shared" si="0"/>
        <v>500</v>
      </c>
      <c r="P23" s="14">
        <f t="shared" si="1"/>
        <v>0</v>
      </c>
      <c r="Q23" s="14">
        <f t="shared" si="2"/>
        <v>40</v>
      </c>
      <c r="R23" s="14">
        <f t="shared" si="3"/>
        <v>540</v>
      </c>
    </row>
    <row r="24" spans="2:18" x14ac:dyDescent="0.3">
      <c r="B24" s="14"/>
      <c r="C24" s="14"/>
      <c r="D24" s="14"/>
      <c r="E24" s="14">
        <v>0.80510879848628192</v>
      </c>
      <c r="F24" s="14">
        <f>VLOOKUP(E24,$E$14:$F$17,2)</f>
        <v>4</v>
      </c>
      <c r="G24" s="14"/>
      <c r="I24" s="34"/>
      <c r="J24" s="34"/>
      <c r="L24" s="14"/>
      <c r="M24" s="14"/>
      <c r="O24" s="14">
        <f t="shared" si="0"/>
        <v>0</v>
      </c>
      <c r="P24" s="14">
        <f t="shared" si="1"/>
        <v>0</v>
      </c>
      <c r="Q24" s="14">
        <f t="shared" si="2"/>
        <v>0</v>
      </c>
      <c r="R24" s="14">
        <f t="shared" si="3"/>
        <v>0</v>
      </c>
    </row>
    <row r="25" spans="2:18" x14ac:dyDescent="0.3">
      <c r="B25" s="14"/>
      <c r="C25" s="14"/>
      <c r="D25" s="14"/>
      <c r="E25" s="14">
        <v>0.95593127231666009</v>
      </c>
      <c r="F25" s="14">
        <f>VLOOKUP(E25,$E$14:$F$17,2)</f>
        <v>5</v>
      </c>
      <c r="G25" s="14"/>
      <c r="I25" s="34"/>
      <c r="J25" s="34"/>
      <c r="L25" s="14"/>
      <c r="M25" s="14"/>
      <c r="O25" s="14">
        <f t="shared" si="0"/>
        <v>0</v>
      </c>
      <c r="P25" s="14">
        <f t="shared" si="1"/>
        <v>0</v>
      </c>
      <c r="Q25" s="14">
        <f t="shared" si="2"/>
        <v>0</v>
      </c>
      <c r="R25" s="14">
        <f t="shared" si="3"/>
        <v>0</v>
      </c>
    </row>
    <row r="26" spans="2:18" x14ac:dyDescent="0.3">
      <c r="B26" s="14"/>
      <c r="C26" s="14"/>
      <c r="D26" s="14"/>
      <c r="E26" s="14"/>
      <c r="F26" s="14"/>
      <c r="G26" s="14"/>
      <c r="I26" s="34"/>
      <c r="J26" s="34"/>
      <c r="L26" s="14"/>
      <c r="M26" s="14"/>
      <c r="O26" s="14">
        <f t="shared" si="0"/>
        <v>0</v>
      </c>
      <c r="P26" s="14">
        <f t="shared" si="1"/>
        <v>0</v>
      </c>
      <c r="Q26" s="14">
        <f t="shared" si="2"/>
        <v>0</v>
      </c>
      <c r="R26" s="14">
        <f t="shared" si="3"/>
        <v>0</v>
      </c>
    </row>
    <row r="27" spans="2:18" x14ac:dyDescent="0.3">
      <c r="B27" s="14">
        <v>3</v>
      </c>
      <c r="C27" s="14">
        <f>'4.2 Random Numbers'!B5</f>
        <v>0.48078859828485976</v>
      </c>
      <c r="D27" s="14">
        <f>VLOOKUP(C27,E6:F10,2)</f>
        <v>3</v>
      </c>
      <c r="E27" s="14">
        <f>'4.2 Random Numbers'!C6</f>
        <v>0.20343638416699728</v>
      </c>
      <c r="F27" s="14">
        <f>VLOOKUP(E27,E14:F17,2)</f>
        <v>2</v>
      </c>
      <c r="G27" s="14">
        <f>SUM(F27)</f>
        <v>2</v>
      </c>
      <c r="I27" s="34">
        <f>J23+M27</f>
        <v>8</v>
      </c>
      <c r="J27" s="34">
        <f>I27-G27</f>
        <v>6</v>
      </c>
      <c r="L27" s="14">
        <f>IF(J27&lt;=$J$10,$J$11,0)</f>
        <v>0</v>
      </c>
      <c r="M27" s="14">
        <f>L23</f>
        <v>10</v>
      </c>
      <c r="O27" s="14">
        <f t="shared" si="0"/>
        <v>0</v>
      </c>
      <c r="P27" s="14">
        <f t="shared" si="1"/>
        <v>60</v>
      </c>
      <c r="Q27" s="14">
        <f t="shared" si="2"/>
        <v>0</v>
      </c>
      <c r="R27" s="14">
        <f t="shared" si="3"/>
        <v>60</v>
      </c>
    </row>
    <row r="28" spans="2:18" x14ac:dyDescent="0.3">
      <c r="B28" s="14"/>
      <c r="C28" s="14"/>
      <c r="D28" s="14"/>
      <c r="E28" s="14"/>
      <c r="F28" s="14"/>
      <c r="G28" s="14"/>
      <c r="I28" s="34"/>
      <c r="J28" s="34"/>
      <c r="L28" s="14"/>
      <c r="M28" s="14"/>
      <c r="O28" s="14">
        <f t="shared" si="0"/>
        <v>0</v>
      </c>
      <c r="P28" s="14">
        <f t="shared" si="1"/>
        <v>0</v>
      </c>
      <c r="Q28" s="14">
        <f t="shared" si="2"/>
        <v>0</v>
      </c>
      <c r="R28" s="14">
        <f t="shared" si="3"/>
        <v>0</v>
      </c>
    </row>
    <row r="29" spans="2:18" x14ac:dyDescent="0.3">
      <c r="B29" s="14"/>
      <c r="C29" s="14"/>
      <c r="D29" s="14"/>
      <c r="E29" s="14"/>
      <c r="F29" s="14"/>
      <c r="G29" s="14"/>
      <c r="I29" s="34"/>
      <c r="J29" s="34"/>
      <c r="L29" s="14"/>
      <c r="M29" s="14"/>
      <c r="O29" s="14">
        <f t="shared" si="0"/>
        <v>0</v>
      </c>
      <c r="P29" s="14">
        <f t="shared" si="1"/>
        <v>0</v>
      </c>
      <c r="Q29" s="14">
        <f t="shared" si="2"/>
        <v>0</v>
      </c>
      <c r="R29" s="14">
        <f t="shared" si="3"/>
        <v>0</v>
      </c>
    </row>
    <row r="30" spans="2:18" x14ac:dyDescent="0.3">
      <c r="B30" s="14">
        <v>4</v>
      </c>
      <c r="C30" s="14">
        <f>'4.2 Random Numbers'!B6</f>
        <v>0.47840815454573199</v>
      </c>
      <c r="D30" s="14">
        <f>VLOOKUP(C30,E6:F10,2)</f>
        <v>3</v>
      </c>
      <c r="E30" s="14" cm="1">
        <f t="array" ref="E30:E31">'4.2 Random Numbers'!C7:C8</f>
        <v>0.7100436414685507</v>
      </c>
      <c r="F30" s="14">
        <f>VLOOKUP(E30,$E$14:$F$17,2)</f>
        <v>3</v>
      </c>
      <c r="G30" s="14">
        <f>SUM(F30:F31)</f>
        <v>5</v>
      </c>
      <c r="I30" s="34">
        <f>J27+M30</f>
        <v>6</v>
      </c>
      <c r="J30" s="34">
        <f>I30-G30</f>
        <v>1</v>
      </c>
      <c r="L30" s="14">
        <f>IF(J30&lt;=$J$10,$J$11,0)</f>
        <v>10</v>
      </c>
      <c r="M30" s="14">
        <f>L27</f>
        <v>0</v>
      </c>
      <c r="O30" s="14">
        <f t="shared" si="0"/>
        <v>500</v>
      </c>
      <c r="P30" s="14">
        <f t="shared" si="1"/>
        <v>10</v>
      </c>
      <c r="Q30" s="14">
        <f t="shared" si="2"/>
        <v>0</v>
      </c>
      <c r="R30" s="14">
        <f t="shared" si="3"/>
        <v>510</v>
      </c>
    </row>
    <row r="31" spans="2:18" x14ac:dyDescent="0.3">
      <c r="B31" s="14"/>
      <c r="C31" s="14"/>
      <c r="D31" s="14"/>
      <c r="E31" s="14">
        <v>0.20615253151036103</v>
      </c>
      <c r="F31" s="14">
        <f>VLOOKUP(E31,$E$14:$F$17,2)</f>
        <v>2</v>
      </c>
      <c r="G31" s="14"/>
      <c r="I31" s="34"/>
      <c r="J31" s="34"/>
      <c r="L31" s="14"/>
      <c r="M31" s="14"/>
      <c r="O31" s="14">
        <f t="shared" si="0"/>
        <v>0</v>
      </c>
      <c r="P31" s="14">
        <f t="shared" si="1"/>
        <v>0</v>
      </c>
      <c r="Q31" s="14">
        <f t="shared" si="2"/>
        <v>0</v>
      </c>
      <c r="R31" s="14">
        <f t="shared" si="3"/>
        <v>0</v>
      </c>
    </row>
    <row r="32" spans="2:18" x14ac:dyDescent="0.3">
      <c r="B32" s="14"/>
      <c r="C32" s="14"/>
      <c r="D32" s="14"/>
      <c r="E32" s="14"/>
      <c r="F32" s="14"/>
      <c r="G32" s="14"/>
      <c r="I32" s="34"/>
      <c r="J32" s="34"/>
      <c r="L32" s="14"/>
      <c r="M32" s="14"/>
      <c r="O32" s="14">
        <f t="shared" si="0"/>
        <v>0</v>
      </c>
      <c r="P32" s="14">
        <f t="shared" si="1"/>
        <v>0</v>
      </c>
      <c r="Q32" s="14">
        <f t="shared" si="2"/>
        <v>0</v>
      </c>
      <c r="R32" s="14">
        <f t="shared" si="3"/>
        <v>0</v>
      </c>
    </row>
    <row r="33" spans="2:18" x14ac:dyDescent="0.3">
      <c r="B33" s="14">
        <v>5</v>
      </c>
      <c r="C33" s="14">
        <f>'4.2 Random Numbers'!B7</f>
        <v>0.24225592822046571</v>
      </c>
      <c r="D33" s="14">
        <f>VLOOKUP(C33,E6:F10,2)</f>
        <v>2</v>
      </c>
      <c r="E33" s="14">
        <f>'4.2 Random Numbers'!C9</f>
        <v>0.93389690847499007</v>
      </c>
      <c r="F33" s="14">
        <f>VLOOKUP(E33,E14:F17,2)</f>
        <v>5</v>
      </c>
      <c r="G33" s="14">
        <f>SUM(F33)</f>
        <v>5</v>
      </c>
      <c r="I33" s="34">
        <f>J30+M33</f>
        <v>11</v>
      </c>
      <c r="J33" s="34">
        <f>I33-G33</f>
        <v>6</v>
      </c>
      <c r="L33" s="14">
        <f>IF(J33&lt;=$J$10,$J$11,0)</f>
        <v>0</v>
      </c>
      <c r="M33" s="14">
        <f>L30</f>
        <v>10</v>
      </c>
      <c r="O33" s="14">
        <f t="shared" si="0"/>
        <v>0</v>
      </c>
      <c r="P33" s="14">
        <f t="shared" si="1"/>
        <v>60</v>
      </c>
      <c r="Q33" s="14">
        <f t="shared" si="2"/>
        <v>0</v>
      </c>
      <c r="R33" s="14">
        <f t="shared" si="3"/>
        <v>60</v>
      </c>
    </row>
    <row r="34" spans="2:18" x14ac:dyDescent="0.3">
      <c r="B34" s="14"/>
      <c r="C34" s="14"/>
      <c r="D34" s="14"/>
      <c r="E34" s="14"/>
      <c r="F34" s="14"/>
      <c r="G34" s="14"/>
      <c r="I34" s="34"/>
      <c r="J34" s="34"/>
      <c r="L34" s="14"/>
      <c r="M34" s="14"/>
      <c r="O34" s="14">
        <f t="shared" si="0"/>
        <v>0</v>
      </c>
      <c r="P34" s="14">
        <f t="shared" si="1"/>
        <v>0</v>
      </c>
      <c r="Q34" s="14">
        <f t="shared" si="2"/>
        <v>0</v>
      </c>
      <c r="R34" s="14">
        <f t="shared" si="3"/>
        <v>0</v>
      </c>
    </row>
    <row r="35" spans="2:18" x14ac:dyDescent="0.3">
      <c r="B35" s="14">
        <v>6</v>
      </c>
      <c r="C35" s="14">
        <f>'4.2 Random Numbers'!B8</f>
        <v>0.37574388866847741</v>
      </c>
      <c r="D35" s="14">
        <f>VLOOKUP(C35,E6:F10,2)</f>
        <v>3</v>
      </c>
      <c r="E35" s="14" cm="1">
        <f t="array" ref="E35:E37">'4.2 Random Numbers'!C10:C12</f>
        <v>0.33448286385692921</v>
      </c>
      <c r="F35" s="14">
        <f>VLOOKUP(E35,$E$14:$F$17,2)</f>
        <v>2</v>
      </c>
      <c r="G35" s="14">
        <f>SUM(F35:F37)</f>
        <v>12</v>
      </c>
      <c r="I35" s="34">
        <f>J33+M35</f>
        <v>6</v>
      </c>
      <c r="J35" s="34">
        <f>I35-G35</f>
        <v>-6</v>
      </c>
      <c r="L35" s="14">
        <f>IF(J35&lt;=$J$10,$J$11,0)</f>
        <v>10</v>
      </c>
      <c r="M35" s="14">
        <f>L33</f>
        <v>0</v>
      </c>
      <c r="O35" s="14">
        <f t="shared" si="0"/>
        <v>500</v>
      </c>
      <c r="P35" s="14">
        <f t="shared" si="1"/>
        <v>0</v>
      </c>
      <c r="Q35" s="14">
        <f t="shared" si="2"/>
        <v>120</v>
      </c>
      <c r="R35" s="14">
        <f t="shared" si="3"/>
        <v>620</v>
      </c>
    </row>
    <row r="36" spans="2:18" x14ac:dyDescent="0.3">
      <c r="B36" s="14"/>
      <c r="C36" s="14"/>
      <c r="D36" s="14"/>
      <c r="E36" s="14">
        <v>0.99514755699331647</v>
      </c>
      <c r="F36" s="14">
        <f>VLOOKUP(E36,$E$14:$F$17,2)</f>
        <v>5</v>
      </c>
      <c r="G36" s="14"/>
      <c r="I36" s="34"/>
      <c r="J36" s="34"/>
      <c r="L36" s="14"/>
      <c r="M36" s="14"/>
      <c r="O36" s="14">
        <f t="shared" si="0"/>
        <v>0</v>
      </c>
      <c r="P36" s="14">
        <f t="shared" si="1"/>
        <v>0</v>
      </c>
      <c r="Q36" s="14">
        <f t="shared" si="2"/>
        <v>0</v>
      </c>
      <c r="R36" s="14">
        <f t="shared" si="3"/>
        <v>0</v>
      </c>
    </row>
    <row r="37" spans="2:18" x14ac:dyDescent="0.3">
      <c r="B37" s="14"/>
      <c r="C37" s="14"/>
      <c r="D37" s="14"/>
      <c r="E37" s="14">
        <v>0.98840296639912106</v>
      </c>
      <c r="F37" s="14">
        <f>VLOOKUP(E37,$E$14:$F$17,2)</f>
        <v>5</v>
      </c>
      <c r="G37" s="14"/>
      <c r="I37" s="34"/>
      <c r="J37" s="34"/>
      <c r="L37" s="14"/>
      <c r="M37" s="14"/>
      <c r="O37" s="14">
        <f t="shared" si="0"/>
        <v>0</v>
      </c>
      <c r="P37" s="14">
        <f t="shared" si="1"/>
        <v>0</v>
      </c>
      <c r="Q37" s="14">
        <f t="shared" si="2"/>
        <v>0</v>
      </c>
      <c r="R37" s="14">
        <f t="shared" si="3"/>
        <v>0</v>
      </c>
    </row>
    <row r="38" spans="2:18" x14ac:dyDescent="0.3">
      <c r="B38" s="14"/>
      <c r="C38" s="14"/>
      <c r="D38" s="14"/>
      <c r="E38" s="14"/>
      <c r="F38" s="14"/>
      <c r="G38" s="14"/>
      <c r="I38" s="35"/>
      <c r="J38" s="35"/>
      <c r="L38" s="14"/>
      <c r="M38" s="14"/>
      <c r="O38" s="14">
        <f t="shared" si="0"/>
        <v>0</v>
      </c>
      <c r="P38" s="14">
        <f t="shared" si="1"/>
        <v>0</v>
      </c>
      <c r="Q38" s="14">
        <f t="shared" si="2"/>
        <v>0</v>
      </c>
      <c r="R38" s="14">
        <f t="shared" si="3"/>
        <v>0</v>
      </c>
    </row>
    <row r="39" spans="2:18" x14ac:dyDescent="0.3">
      <c r="B39" s="14">
        <v>7</v>
      </c>
      <c r="C39" s="14">
        <f>'4.2 Random Numbers'!B9</f>
        <v>0.62828455458235422</v>
      </c>
      <c r="D39" s="14">
        <f>VLOOKUP(C39,E6:F10,2)</f>
        <v>3</v>
      </c>
      <c r="E39" s="14"/>
      <c r="F39" s="14"/>
      <c r="G39" s="14">
        <f>SUM(F39)</f>
        <v>0</v>
      </c>
      <c r="I39" s="35">
        <f>J35+M39</f>
        <v>4</v>
      </c>
      <c r="J39" s="35">
        <f>I39-G39</f>
        <v>4</v>
      </c>
      <c r="L39" s="14">
        <f>IF(J39&lt;=$J$10,$J$11,0)</f>
        <v>0</v>
      </c>
      <c r="M39" s="14">
        <f>L35</f>
        <v>10</v>
      </c>
      <c r="O39" s="14">
        <f t="shared" si="0"/>
        <v>0</v>
      </c>
      <c r="P39" s="14">
        <f t="shared" si="1"/>
        <v>40</v>
      </c>
      <c r="Q39" s="14">
        <f t="shared" si="2"/>
        <v>0</v>
      </c>
      <c r="R39" s="14">
        <f t="shared" si="3"/>
        <v>40</v>
      </c>
    </row>
    <row r="40" spans="2:18" x14ac:dyDescent="0.3">
      <c r="Q40" s="14"/>
      <c r="R40" s="14"/>
    </row>
    <row r="41" spans="2:18" x14ac:dyDescent="0.3">
      <c r="Q41" s="14" t="s">
        <v>82</v>
      </c>
      <c r="R41" s="14">
        <f>SUM(R21:R39)</f>
        <v>1930</v>
      </c>
    </row>
    <row r="42" spans="2:18" x14ac:dyDescent="0.3">
      <c r="Q42" s="14"/>
      <c r="R42" s="14"/>
    </row>
    <row r="43" spans="2:18" ht="28.8" x14ac:dyDescent="0.3">
      <c r="Q43" s="20" t="s">
        <v>83</v>
      </c>
      <c r="R43" s="14">
        <f>R41/7</f>
        <v>275.71428571428572</v>
      </c>
    </row>
  </sheetData>
  <mergeCells count="3">
    <mergeCell ref="I19:J19"/>
    <mergeCell ref="L19:M19"/>
    <mergeCell ref="O19:R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C4BB-3376-412C-BB92-CCCFE60C7103}">
  <dimension ref="B1:G19"/>
  <sheetViews>
    <sheetView workbookViewId="0">
      <selection activeCell="E6" sqref="E6"/>
    </sheetView>
  </sheetViews>
  <sheetFormatPr defaultRowHeight="14.4" x14ac:dyDescent="0.3"/>
  <cols>
    <col min="2" max="2" width="13.5546875" customWidth="1"/>
    <col min="3" max="3" width="14.5546875" customWidth="1"/>
  </cols>
  <sheetData>
    <row r="1" spans="2:7" ht="15.6" x14ac:dyDescent="0.3">
      <c r="B1" s="49" t="s">
        <v>67</v>
      </c>
      <c r="C1" s="49" t="s">
        <v>68</v>
      </c>
    </row>
    <row r="2" spans="2:7" ht="15.6" x14ac:dyDescent="0.3">
      <c r="B2" s="16">
        <v>0.28678243354594563</v>
      </c>
      <c r="C2" s="16">
        <v>0.32752464369640188</v>
      </c>
      <c r="F2" s="41" t="s">
        <v>43</v>
      </c>
      <c r="G2" s="14">
        <v>2866</v>
      </c>
    </row>
    <row r="3" spans="2:7" ht="15.6" x14ac:dyDescent="0.3">
      <c r="B3" s="16">
        <v>0.10892056031983398</v>
      </c>
      <c r="C3" s="16">
        <v>0.73311563463240459</v>
      </c>
    </row>
    <row r="4" spans="2:7" ht="15.6" x14ac:dyDescent="0.3">
      <c r="B4" s="16">
        <v>0.41776787621692557</v>
      </c>
      <c r="C4" s="16">
        <v>0.80510879848628192</v>
      </c>
    </row>
    <row r="5" spans="2:7" ht="15.6" x14ac:dyDescent="0.3">
      <c r="B5" s="16">
        <v>0.48078859828485976</v>
      </c>
      <c r="C5" s="16">
        <v>0.95593127231666009</v>
      </c>
    </row>
    <row r="6" spans="2:7" ht="15.6" x14ac:dyDescent="0.3">
      <c r="B6" s="16">
        <v>0.47840815454573199</v>
      </c>
      <c r="C6" s="16">
        <v>0.20343638416699728</v>
      </c>
    </row>
    <row r="7" spans="2:7" ht="15.6" x14ac:dyDescent="0.3">
      <c r="B7" s="16">
        <v>0.24225592822046571</v>
      </c>
      <c r="C7" s="16">
        <v>0.7100436414685507</v>
      </c>
    </row>
    <row r="8" spans="2:7" ht="15.6" x14ac:dyDescent="0.3">
      <c r="B8" s="16">
        <v>0.37574388866847741</v>
      </c>
      <c r="C8" s="16">
        <v>0.20615253151036103</v>
      </c>
    </row>
    <row r="9" spans="2:7" ht="15.6" x14ac:dyDescent="0.3">
      <c r="B9" s="16">
        <v>0.62828455458235422</v>
      </c>
      <c r="C9" s="16">
        <v>0.93389690847499007</v>
      </c>
    </row>
    <row r="10" spans="2:7" ht="15.6" x14ac:dyDescent="0.3">
      <c r="B10" s="16">
        <v>0.86529129917294845</v>
      </c>
      <c r="C10" s="16">
        <v>0.33448286385692921</v>
      </c>
    </row>
    <row r="11" spans="2:7" ht="15.6" x14ac:dyDescent="0.3">
      <c r="B11" s="16">
        <v>0.21234778893398845</v>
      </c>
      <c r="C11" s="16">
        <v>0.99514755699331647</v>
      </c>
    </row>
    <row r="12" spans="2:7" ht="15.6" x14ac:dyDescent="0.3">
      <c r="B12" s="16">
        <v>7.8768272957548749E-2</v>
      </c>
      <c r="C12" s="16">
        <v>0.98840296639912106</v>
      </c>
    </row>
    <row r="13" spans="2:7" ht="15.6" x14ac:dyDescent="0.3">
      <c r="B13" s="16">
        <v>0.90838343455305648</v>
      </c>
      <c r="C13" s="16">
        <v>0.31098361156041138</v>
      </c>
    </row>
    <row r="14" spans="2:7" ht="15.6" x14ac:dyDescent="0.3">
      <c r="B14" s="16">
        <v>0.78875087740714744</v>
      </c>
      <c r="C14" s="16">
        <v>0.27872554704428237</v>
      </c>
    </row>
    <row r="15" spans="2:7" ht="15.6" x14ac:dyDescent="0.3">
      <c r="B15" s="16">
        <v>0.59898678548539686</v>
      </c>
      <c r="C15" s="16">
        <v>8.7405011139255959E-2</v>
      </c>
    </row>
    <row r="16" spans="2:7" ht="15.6" x14ac:dyDescent="0.3">
      <c r="B16" s="16">
        <v>0.315073091830195</v>
      </c>
      <c r="C16" s="16">
        <v>0.93176061281167033</v>
      </c>
    </row>
    <row r="17" spans="2:3" ht="15.6" x14ac:dyDescent="0.3">
      <c r="B17" s="16">
        <v>0.54741050447096162</v>
      </c>
      <c r="C17" s="16">
        <v>0.70906704916531882</v>
      </c>
    </row>
    <row r="18" spans="2:3" ht="15.6" x14ac:dyDescent="0.3">
      <c r="B18" s="16">
        <v>0.48088015381328775</v>
      </c>
      <c r="C18" s="16">
        <v>4.693746757408368E-2</v>
      </c>
    </row>
    <row r="19" spans="2:3" ht="15.6" x14ac:dyDescent="0.3">
      <c r="B19" s="16">
        <v>0.24863429670094914</v>
      </c>
      <c r="C19" s="16">
        <v>0.81066316721091347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7B4C-D63A-4D87-91C2-61087DE9F954}">
  <dimension ref="B4:H36"/>
  <sheetViews>
    <sheetView topLeftCell="A9" workbookViewId="0">
      <selection activeCell="K25" sqref="K25"/>
    </sheetView>
  </sheetViews>
  <sheetFormatPr defaultRowHeight="14.4" x14ac:dyDescent="0.3"/>
  <cols>
    <col min="2" max="2" width="18.6640625" customWidth="1"/>
  </cols>
  <sheetData>
    <row r="4" spans="2:7" x14ac:dyDescent="0.3">
      <c r="B4" s="43"/>
    </row>
    <row r="5" spans="2:7" x14ac:dyDescent="0.3">
      <c r="B5" s="41" t="s">
        <v>84</v>
      </c>
      <c r="C5" s="44"/>
      <c r="D5" s="44"/>
      <c r="E5" s="44"/>
      <c r="F5" s="44"/>
      <c r="G5" s="44"/>
    </row>
    <row r="6" spans="2:7" x14ac:dyDescent="0.3">
      <c r="B6" s="41" t="s">
        <v>56</v>
      </c>
      <c r="C6" s="41" t="s">
        <v>57</v>
      </c>
      <c r="D6" s="41" t="s">
        <v>58</v>
      </c>
      <c r="E6" s="41" t="s">
        <v>59</v>
      </c>
      <c r="F6" s="41" t="s">
        <v>60</v>
      </c>
      <c r="G6" s="41" t="s">
        <v>61</v>
      </c>
    </row>
    <row r="7" spans="2:7" x14ac:dyDescent="0.3">
      <c r="B7" s="39" t="s">
        <v>62</v>
      </c>
      <c r="C7" s="14">
        <v>14</v>
      </c>
      <c r="D7" s="14">
        <v>7</v>
      </c>
      <c r="E7" s="14">
        <v>3</v>
      </c>
      <c r="F7" s="14">
        <v>7</v>
      </c>
      <c r="G7" s="14">
        <v>27</v>
      </c>
    </row>
    <row r="8" spans="2:7" x14ac:dyDescent="0.3">
      <c r="B8" s="39" t="s">
        <v>63</v>
      </c>
      <c r="C8" s="14">
        <v>20</v>
      </c>
      <c r="D8" s="14">
        <v>7</v>
      </c>
      <c r="E8" s="14">
        <v>12</v>
      </c>
      <c r="F8" s="14">
        <v>6</v>
      </c>
      <c r="G8" s="14">
        <v>30</v>
      </c>
    </row>
    <row r="9" spans="2:7" x14ac:dyDescent="0.3">
      <c r="B9" s="39" t="s">
        <v>64</v>
      </c>
      <c r="C9" s="14">
        <v>10</v>
      </c>
      <c r="D9" s="14">
        <v>3</v>
      </c>
      <c r="E9" s="14">
        <v>4</v>
      </c>
      <c r="F9" s="14">
        <v>5</v>
      </c>
      <c r="G9" s="14">
        <v>21</v>
      </c>
    </row>
    <row r="10" spans="2:7" x14ac:dyDescent="0.3">
      <c r="B10" s="39" t="s">
        <v>65</v>
      </c>
      <c r="C10" s="14">
        <v>8</v>
      </c>
      <c r="D10" s="14">
        <v>12</v>
      </c>
      <c r="E10" s="14">
        <v>7</v>
      </c>
      <c r="F10" s="14">
        <v>12</v>
      </c>
      <c r="G10" s="14">
        <v>21</v>
      </c>
    </row>
    <row r="11" spans="2:7" x14ac:dyDescent="0.3">
      <c r="B11" s="39" t="s">
        <v>66</v>
      </c>
      <c r="C11" s="14">
        <v>13</v>
      </c>
      <c r="D11" s="14">
        <v>25</v>
      </c>
      <c r="E11" s="14">
        <v>24</v>
      </c>
      <c r="F11" s="14">
        <v>26</v>
      </c>
      <c r="G11" s="14">
        <v>8</v>
      </c>
    </row>
    <row r="16" spans="2:7" x14ac:dyDescent="0.3">
      <c r="B16" s="43"/>
      <c r="C16" s="45"/>
      <c r="D16" s="45"/>
      <c r="E16" s="45"/>
      <c r="F16" s="45"/>
      <c r="G16" s="45"/>
    </row>
    <row r="17" spans="2:7" x14ac:dyDescent="0.3">
      <c r="B17" s="41" t="s">
        <v>214</v>
      </c>
      <c r="C17" s="44"/>
      <c r="D17" s="44"/>
      <c r="E17" s="44"/>
      <c r="F17" s="44"/>
      <c r="G17" s="44"/>
    </row>
    <row r="18" spans="2:7" x14ac:dyDescent="0.3">
      <c r="B18" s="41" t="s">
        <v>56</v>
      </c>
      <c r="C18" s="41" t="s">
        <v>57</v>
      </c>
      <c r="D18" s="41" t="s">
        <v>58</v>
      </c>
      <c r="E18" s="41" t="s">
        <v>59</v>
      </c>
      <c r="F18" s="41" t="s">
        <v>60</v>
      </c>
      <c r="G18" s="41" t="s">
        <v>61</v>
      </c>
    </row>
    <row r="19" spans="2:7" x14ac:dyDescent="0.3">
      <c r="B19" s="39" t="s">
        <v>62</v>
      </c>
      <c r="C19" s="14">
        <v>0</v>
      </c>
      <c r="D19" s="14">
        <v>0</v>
      </c>
      <c r="E19" s="14">
        <v>1</v>
      </c>
      <c r="F19" s="14">
        <v>0</v>
      </c>
      <c r="G19" s="14">
        <v>0</v>
      </c>
    </row>
    <row r="20" spans="2:7" x14ac:dyDescent="0.3">
      <c r="B20" s="39" t="s">
        <v>63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</row>
    <row r="21" spans="2:7" x14ac:dyDescent="0.3">
      <c r="B21" s="39" t="s">
        <v>64</v>
      </c>
      <c r="C21" s="14">
        <v>0</v>
      </c>
      <c r="D21" s="14">
        <v>1</v>
      </c>
      <c r="E21" s="14">
        <v>0</v>
      </c>
      <c r="F21" s="14">
        <v>1</v>
      </c>
      <c r="G21" s="14">
        <v>0</v>
      </c>
    </row>
    <row r="22" spans="2:7" x14ac:dyDescent="0.3">
      <c r="B22" s="39" t="s">
        <v>65</v>
      </c>
      <c r="C22" s="14">
        <v>1</v>
      </c>
      <c r="D22" s="14">
        <v>0</v>
      </c>
      <c r="E22" s="14">
        <v>0</v>
      </c>
      <c r="F22" s="14">
        <v>0</v>
      </c>
      <c r="G22" s="14">
        <v>0</v>
      </c>
    </row>
    <row r="23" spans="2:7" x14ac:dyDescent="0.3">
      <c r="B23" s="39" t="s">
        <v>66</v>
      </c>
      <c r="C23" s="14">
        <v>0</v>
      </c>
      <c r="D23" s="14">
        <v>0</v>
      </c>
      <c r="E23" s="14">
        <v>0</v>
      </c>
      <c r="F23" s="14">
        <v>0</v>
      </c>
      <c r="G23" s="14">
        <v>1</v>
      </c>
    </row>
    <row r="24" spans="2:7" x14ac:dyDescent="0.3">
      <c r="B24" s="39"/>
      <c r="C24" s="14"/>
      <c r="D24" s="14"/>
      <c r="E24" s="14"/>
      <c r="F24" s="14"/>
      <c r="G24" s="14"/>
    </row>
    <row r="25" spans="2:7" x14ac:dyDescent="0.3">
      <c r="B25" s="41" t="s">
        <v>81</v>
      </c>
      <c r="C25" s="14">
        <f>SUM(C19:C23)</f>
        <v>1</v>
      </c>
      <c r="D25" s="14">
        <f>SUM(D19:D23)</f>
        <v>1</v>
      </c>
      <c r="E25" s="14">
        <f>SUM(E19:E23)</f>
        <v>1</v>
      </c>
      <c r="F25" s="14">
        <f>SUM(F19:F23)</f>
        <v>1</v>
      </c>
      <c r="G25" s="14">
        <f>SUM(G19:G23)</f>
        <v>1</v>
      </c>
    </row>
    <row r="27" spans="2:7" x14ac:dyDescent="0.3">
      <c r="B27" s="41" t="s">
        <v>85</v>
      </c>
      <c r="C27" s="44"/>
      <c r="D27" s="44"/>
      <c r="E27" s="44"/>
      <c r="F27" s="44"/>
      <c r="G27" s="44"/>
    </row>
    <row r="28" spans="2:7" x14ac:dyDescent="0.3">
      <c r="B28" s="41" t="s">
        <v>56</v>
      </c>
      <c r="C28" s="41" t="s">
        <v>57</v>
      </c>
      <c r="D28" s="41" t="s">
        <v>58</v>
      </c>
      <c r="E28" s="41" t="s">
        <v>59</v>
      </c>
      <c r="F28" s="41" t="s">
        <v>60</v>
      </c>
      <c r="G28" s="41" t="s">
        <v>61</v>
      </c>
    </row>
    <row r="29" spans="2:7" x14ac:dyDescent="0.3">
      <c r="B29" s="39" t="s">
        <v>62</v>
      </c>
      <c r="C29" s="14">
        <f>C7*C19</f>
        <v>0</v>
      </c>
      <c r="D29" s="14">
        <f>D7*D19</f>
        <v>0</v>
      </c>
      <c r="E29" s="14">
        <f>E7*E19</f>
        <v>3</v>
      </c>
      <c r="F29" s="14">
        <f>F7*F19</f>
        <v>0</v>
      </c>
      <c r="G29" s="14">
        <f>G7*G19</f>
        <v>0</v>
      </c>
    </row>
    <row r="30" spans="2:7" x14ac:dyDescent="0.3">
      <c r="B30" s="39" t="s">
        <v>63</v>
      </c>
      <c r="C30" s="14">
        <f>C8*C20</f>
        <v>0</v>
      </c>
      <c r="D30" s="14">
        <f>D8*D20</f>
        <v>0</v>
      </c>
      <c r="E30" s="14">
        <f t="shared" ref="D30:G33" si="0">E8*E20</f>
        <v>0</v>
      </c>
      <c r="F30" s="14">
        <f t="shared" si="0"/>
        <v>0</v>
      </c>
      <c r="G30" s="14">
        <f t="shared" si="0"/>
        <v>0</v>
      </c>
    </row>
    <row r="31" spans="2:7" x14ac:dyDescent="0.3">
      <c r="B31" s="39" t="s">
        <v>64</v>
      </c>
      <c r="C31" s="14">
        <f>C9*C21</f>
        <v>0</v>
      </c>
      <c r="D31" s="14">
        <f t="shared" si="0"/>
        <v>3</v>
      </c>
      <c r="E31" s="14">
        <f t="shared" si="0"/>
        <v>0</v>
      </c>
      <c r="F31" s="14">
        <f t="shared" si="0"/>
        <v>5</v>
      </c>
      <c r="G31" s="14">
        <f t="shared" si="0"/>
        <v>0</v>
      </c>
    </row>
    <row r="32" spans="2:7" x14ac:dyDescent="0.3">
      <c r="B32" s="39" t="s">
        <v>65</v>
      </c>
      <c r="C32" s="14">
        <f>C10*C22</f>
        <v>8</v>
      </c>
      <c r="D32" s="14">
        <f t="shared" si="0"/>
        <v>0</v>
      </c>
      <c r="E32" s="14">
        <f t="shared" si="0"/>
        <v>0</v>
      </c>
      <c r="F32" s="14">
        <f t="shared" si="0"/>
        <v>0</v>
      </c>
      <c r="G32" s="14">
        <f t="shared" si="0"/>
        <v>0</v>
      </c>
    </row>
    <row r="33" spans="2:8" x14ac:dyDescent="0.3">
      <c r="B33" s="39" t="s">
        <v>66</v>
      </c>
      <c r="C33" s="14">
        <f>C11*C23</f>
        <v>0</v>
      </c>
      <c r="D33" s="14">
        <f t="shared" si="0"/>
        <v>0</v>
      </c>
      <c r="E33" s="14">
        <f t="shared" si="0"/>
        <v>0</v>
      </c>
      <c r="F33" s="14">
        <f t="shared" si="0"/>
        <v>0</v>
      </c>
      <c r="G33" s="14">
        <f t="shared" si="0"/>
        <v>8</v>
      </c>
    </row>
    <row r="34" spans="2:8" x14ac:dyDescent="0.3">
      <c r="F34" s="46"/>
      <c r="G34" s="43"/>
    </row>
    <row r="36" spans="2:8" ht="28.8" x14ac:dyDescent="0.3">
      <c r="G36" s="47" t="s">
        <v>119</v>
      </c>
      <c r="H36" s="39">
        <f>SUM(C29:G33)</f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11CA-83EA-4AB6-97F6-9B4B739F727E}">
  <dimension ref="A1:G57"/>
  <sheetViews>
    <sheetView showGridLines="0" topLeftCell="A4" workbookViewId="0"/>
  </sheetViews>
  <sheetFormatPr defaultRowHeight="14.4" outlineLevelRow="1" x14ac:dyDescent="0.3"/>
  <cols>
    <col min="1" max="1" width="2.33203125" customWidth="1"/>
    <col min="2" max="2" width="18.21875" bestFit="1" customWidth="1"/>
    <col min="3" max="4" width="12.6640625" bestFit="1" customWidth="1"/>
    <col min="5" max="5" width="10.109375" bestFit="1" customWidth="1"/>
    <col min="6" max="6" width="7" bestFit="1" customWidth="1"/>
    <col min="7" max="7" width="5.33203125" bestFit="1" customWidth="1"/>
  </cols>
  <sheetData>
    <row r="1" spans="1:5" x14ac:dyDescent="0.3">
      <c r="A1" s="15" t="s">
        <v>120</v>
      </c>
    </row>
    <row r="2" spans="1:5" x14ac:dyDescent="0.3">
      <c r="A2" s="15" t="s">
        <v>121</v>
      </c>
    </row>
    <row r="3" spans="1:5" x14ac:dyDescent="0.3">
      <c r="A3" s="15" t="s">
        <v>122</v>
      </c>
    </row>
    <row r="4" spans="1:5" x14ac:dyDescent="0.3">
      <c r="A4" s="15" t="s">
        <v>123</v>
      </c>
    </row>
    <row r="5" spans="1:5" x14ac:dyDescent="0.3">
      <c r="A5" s="15" t="s">
        <v>124</v>
      </c>
    </row>
    <row r="6" spans="1:5" hidden="1" outlineLevel="1" x14ac:dyDescent="0.3">
      <c r="A6" s="15"/>
      <c r="B6" t="s">
        <v>125</v>
      </c>
    </row>
    <row r="7" spans="1:5" hidden="1" outlineLevel="1" x14ac:dyDescent="0.3">
      <c r="A7" s="15"/>
      <c r="B7" t="s">
        <v>126</v>
      </c>
    </row>
    <row r="8" spans="1:5" hidden="1" outlineLevel="1" x14ac:dyDescent="0.3">
      <c r="A8" s="15"/>
      <c r="B8" t="s">
        <v>127</v>
      </c>
    </row>
    <row r="9" spans="1:5" collapsed="1" x14ac:dyDescent="0.3">
      <c r="A9" s="15" t="s">
        <v>128</v>
      </c>
    </row>
    <row r="10" spans="1:5" hidden="1" outlineLevel="1" x14ac:dyDescent="0.3">
      <c r="B10" t="s">
        <v>129</v>
      </c>
    </row>
    <row r="11" spans="1:5" hidden="1" outlineLevel="1" x14ac:dyDescent="0.3">
      <c r="B11" t="s">
        <v>130</v>
      </c>
    </row>
    <row r="12" spans="1:5" collapsed="1" x14ac:dyDescent="0.3"/>
    <row r="14" spans="1:5" ht="15" thickBot="1" x14ac:dyDescent="0.35">
      <c r="A14" t="s">
        <v>131</v>
      </c>
    </row>
    <row r="15" spans="1:5" ht="15" thickBot="1" x14ac:dyDescent="0.35">
      <c r="B15" s="26" t="s">
        <v>132</v>
      </c>
      <c r="C15" s="26" t="s">
        <v>133</v>
      </c>
      <c r="D15" s="26" t="s">
        <v>134</v>
      </c>
      <c r="E15" s="26" t="s">
        <v>135</v>
      </c>
    </row>
    <row r="16" spans="1:5" ht="15" thickBot="1" x14ac:dyDescent="0.35">
      <c r="B16" s="25" t="s">
        <v>143</v>
      </c>
      <c r="C16" s="25" t="s">
        <v>119</v>
      </c>
      <c r="D16" s="29">
        <v>27</v>
      </c>
      <c r="E16" s="29">
        <v>27</v>
      </c>
    </row>
    <row r="19" spans="1:6" ht="15" thickBot="1" x14ac:dyDescent="0.35">
      <c r="A19" t="s">
        <v>136</v>
      </c>
    </row>
    <row r="20" spans="1:6" ht="15" thickBot="1" x14ac:dyDescent="0.35">
      <c r="B20" s="26" t="s">
        <v>132</v>
      </c>
      <c r="C20" s="26" t="s">
        <v>133</v>
      </c>
      <c r="D20" s="26" t="s">
        <v>134</v>
      </c>
      <c r="E20" s="26" t="s">
        <v>135</v>
      </c>
      <c r="F20" s="26" t="s">
        <v>137</v>
      </c>
    </row>
    <row r="21" spans="1:6" x14ac:dyDescent="0.3">
      <c r="B21" s="33" t="s">
        <v>212</v>
      </c>
      <c r="C21" s="32"/>
      <c r="D21" s="32"/>
      <c r="E21" s="32"/>
      <c r="F21" s="32"/>
    </row>
    <row r="22" spans="1:6" hidden="1" outlineLevel="1" x14ac:dyDescent="0.3">
      <c r="B22" s="28" t="s">
        <v>144</v>
      </c>
      <c r="C22" s="28" t="s">
        <v>145</v>
      </c>
      <c r="D22" s="30">
        <v>0</v>
      </c>
      <c r="E22" s="30">
        <v>0</v>
      </c>
      <c r="F22" s="28" t="s">
        <v>211</v>
      </c>
    </row>
    <row r="23" spans="1:6" hidden="1" outlineLevel="1" x14ac:dyDescent="0.3">
      <c r="B23" s="28" t="s">
        <v>146</v>
      </c>
      <c r="C23" s="28" t="s">
        <v>147</v>
      </c>
      <c r="D23" s="30">
        <v>0</v>
      </c>
      <c r="E23" s="30">
        <v>0</v>
      </c>
      <c r="F23" s="28" t="s">
        <v>211</v>
      </c>
    </row>
    <row r="24" spans="1:6" hidden="1" outlineLevel="1" x14ac:dyDescent="0.3">
      <c r="B24" s="28" t="s">
        <v>148</v>
      </c>
      <c r="C24" s="28" t="s">
        <v>149</v>
      </c>
      <c r="D24" s="30">
        <v>1</v>
      </c>
      <c r="E24" s="30">
        <v>1</v>
      </c>
      <c r="F24" s="28" t="s">
        <v>211</v>
      </c>
    </row>
    <row r="25" spans="1:6" hidden="1" outlineLevel="1" x14ac:dyDescent="0.3">
      <c r="B25" s="28" t="s">
        <v>150</v>
      </c>
      <c r="C25" s="28" t="s">
        <v>151</v>
      </c>
      <c r="D25" s="30">
        <v>0</v>
      </c>
      <c r="E25" s="30">
        <v>0</v>
      </c>
      <c r="F25" s="28" t="s">
        <v>211</v>
      </c>
    </row>
    <row r="26" spans="1:6" hidden="1" outlineLevel="1" x14ac:dyDescent="0.3">
      <c r="B26" s="28" t="s">
        <v>152</v>
      </c>
      <c r="C26" s="28" t="s">
        <v>153</v>
      </c>
      <c r="D26" s="30">
        <v>0</v>
      </c>
      <c r="E26" s="30">
        <v>0</v>
      </c>
      <c r="F26" s="28" t="s">
        <v>211</v>
      </c>
    </row>
    <row r="27" spans="1:6" hidden="1" outlineLevel="1" x14ac:dyDescent="0.3">
      <c r="B27" s="28" t="s">
        <v>154</v>
      </c>
      <c r="C27" s="28" t="s">
        <v>155</v>
      </c>
      <c r="D27" s="30">
        <v>0</v>
      </c>
      <c r="E27" s="30">
        <v>0</v>
      </c>
      <c r="F27" s="28" t="s">
        <v>211</v>
      </c>
    </row>
    <row r="28" spans="1:6" hidden="1" outlineLevel="1" x14ac:dyDescent="0.3">
      <c r="B28" s="28" t="s">
        <v>156</v>
      </c>
      <c r="C28" s="28" t="s">
        <v>157</v>
      </c>
      <c r="D28" s="30">
        <v>0</v>
      </c>
      <c r="E28" s="30">
        <v>0</v>
      </c>
      <c r="F28" s="28" t="s">
        <v>211</v>
      </c>
    </row>
    <row r="29" spans="1:6" hidden="1" outlineLevel="1" x14ac:dyDescent="0.3">
      <c r="B29" s="28" t="s">
        <v>158</v>
      </c>
      <c r="C29" s="28" t="s">
        <v>159</v>
      </c>
      <c r="D29" s="30">
        <v>0</v>
      </c>
      <c r="E29" s="30">
        <v>0</v>
      </c>
      <c r="F29" s="28" t="s">
        <v>211</v>
      </c>
    </row>
    <row r="30" spans="1:6" hidden="1" outlineLevel="1" x14ac:dyDescent="0.3">
      <c r="B30" s="28" t="s">
        <v>160</v>
      </c>
      <c r="C30" s="28" t="s">
        <v>161</v>
      </c>
      <c r="D30" s="30">
        <v>0</v>
      </c>
      <c r="E30" s="30">
        <v>0</v>
      </c>
      <c r="F30" s="28" t="s">
        <v>211</v>
      </c>
    </row>
    <row r="31" spans="1:6" hidden="1" outlineLevel="1" x14ac:dyDescent="0.3">
      <c r="B31" s="28" t="s">
        <v>162</v>
      </c>
      <c r="C31" s="28" t="s">
        <v>163</v>
      </c>
      <c r="D31" s="30">
        <v>0</v>
      </c>
      <c r="E31" s="30">
        <v>0</v>
      </c>
      <c r="F31" s="28" t="s">
        <v>211</v>
      </c>
    </row>
    <row r="32" spans="1:6" hidden="1" outlineLevel="1" x14ac:dyDescent="0.3">
      <c r="B32" s="28" t="s">
        <v>164</v>
      </c>
      <c r="C32" s="28" t="s">
        <v>165</v>
      </c>
      <c r="D32" s="30">
        <v>0</v>
      </c>
      <c r="E32" s="30">
        <v>0</v>
      </c>
      <c r="F32" s="28" t="s">
        <v>211</v>
      </c>
    </row>
    <row r="33" spans="2:6" hidden="1" outlineLevel="1" x14ac:dyDescent="0.3">
      <c r="B33" s="28" t="s">
        <v>166</v>
      </c>
      <c r="C33" s="28" t="s">
        <v>167</v>
      </c>
      <c r="D33" s="30">
        <v>1</v>
      </c>
      <c r="E33" s="30">
        <v>1</v>
      </c>
      <c r="F33" s="28" t="s">
        <v>211</v>
      </c>
    </row>
    <row r="34" spans="2:6" hidden="1" outlineLevel="1" x14ac:dyDescent="0.3">
      <c r="B34" s="28" t="s">
        <v>168</v>
      </c>
      <c r="C34" s="28" t="s">
        <v>169</v>
      </c>
      <c r="D34" s="30">
        <v>0</v>
      </c>
      <c r="E34" s="30">
        <v>0</v>
      </c>
      <c r="F34" s="28" t="s">
        <v>211</v>
      </c>
    </row>
    <row r="35" spans="2:6" hidden="1" outlineLevel="1" x14ac:dyDescent="0.3">
      <c r="B35" s="28" t="s">
        <v>170</v>
      </c>
      <c r="C35" s="28" t="s">
        <v>171</v>
      </c>
      <c r="D35" s="30">
        <v>1</v>
      </c>
      <c r="E35" s="30">
        <v>1</v>
      </c>
      <c r="F35" s="28" t="s">
        <v>211</v>
      </c>
    </row>
    <row r="36" spans="2:6" hidden="1" outlineLevel="1" x14ac:dyDescent="0.3">
      <c r="B36" s="28" t="s">
        <v>172</v>
      </c>
      <c r="C36" s="28" t="s">
        <v>173</v>
      </c>
      <c r="D36" s="30">
        <v>0</v>
      </c>
      <c r="E36" s="30">
        <v>0</v>
      </c>
      <c r="F36" s="28" t="s">
        <v>211</v>
      </c>
    </row>
    <row r="37" spans="2:6" hidden="1" outlineLevel="1" x14ac:dyDescent="0.3">
      <c r="B37" s="28" t="s">
        <v>174</v>
      </c>
      <c r="C37" s="28" t="s">
        <v>175</v>
      </c>
      <c r="D37" s="30">
        <v>1</v>
      </c>
      <c r="E37" s="30">
        <v>1</v>
      </c>
      <c r="F37" s="28" t="s">
        <v>211</v>
      </c>
    </row>
    <row r="38" spans="2:6" hidden="1" outlineLevel="1" x14ac:dyDescent="0.3">
      <c r="B38" s="28" t="s">
        <v>176</v>
      </c>
      <c r="C38" s="28" t="s">
        <v>177</v>
      </c>
      <c r="D38" s="30">
        <v>0</v>
      </c>
      <c r="E38" s="30">
        <v>0</v>
      </c>
      <c r="F38" s="28" t="s">
        <v>211</v>
      </c>
    </row>
    <row r="39" spans="2:6" hidden="1" outlineLevel="1" x14ac:dyDescent="0.3">
      <c r="B39" s="28" t="s">
        <v>178</v>
      </c>
      <c r="C39" s="28" t="s">
        <v>179</v>
      </c>
      <c r="D39" s="30">
        <v>0</v>
      </c>
      <c r="E39" s="30">
        <v>0</v>
      </c>
      <c r="F39" s="28" t="s">
        <v>211</v>
      </c>
    </row>
    <row r="40" spans="2:6" hidden="1" outlineLevel="1" x14ac:dyDescent="0.3">
      <c r="B40" s="28" t="s">
        <v>180</v>
      </c>
      <c r="C40" s="28" t="s">
        <v>181</v>
      </c>
      <c r="D40" s="30">
        <v>0</v>
      </c>
      <c r="E40" s="30">
        <v>0</v>
      </c>
      <c r="F40" s="28" t="s">
        <v>211</v>
      </c>
    </row>
    <row r="41" spans="2:6" hidden="1" outlineLevel="1" x14ac:dyDescent="0.3">
      <c r="B41" s="28" t="s">
        <v>182</v>
      </c>
      <c r="C41" s="28" t="s">
        <v>183</v>
      </c>
      <c r="D41" s="30">
        <v>0</v>
      </c>
      <c r="E41" s="30">
        <v>0</v>
      </c>
      <c r="F41" s="28" t="s">
        <v>211</v>
      </c>
    </row>
    <row r="42" spans="2:6" hidden="1" outlineLevel="1" x14ac:dyDescent="0.3">
      <c r="B42" s="28" t="s">
        <v>184</v>
      </c>
      <c r="C42" s="28" t="s">
        <v>185</v>
      </c>
      <c r="D42" s="30">
        <v>0</v>
      </c>
      <c r="E42" s="30">
        <v>0</v>
      </c>
      <c r="F42" s="28" t="s">
        <v>211</v>
      </c>
    </row>
    <row r="43" spans="2:6" hidden="1" outlineLevel="1" x14ac:dyDescent="0.3">
      <c r="B43" s="28" t="s">
        <v>186</v>
      </c>
      <c r="C43" s="28" t="s">
        <v>187</v>
      </c>
      <c r="D43" s="30">
        <v>0</v>
      </c>
      <c r="E43" s="30">
        <v>0</v>
      </c>
      <c r="F43" s="28" t="s">
        <v>211</v>
      </c>
    </row>
    <row r="44" spans="2:6" hidden="1" outlineLevel="1" x14ac:dyDescent="0.3">
      <c r="B44" s="28" t="s">
        <v>188</v>
      </c>
      <c r="C44" s="28" t="s">
        <v>189</v>
      </c>
      <c r="D44" s="30">
        <v>0</v>
      </c>
      <c r="E44" s="30">
        <v>0</v>
      </c>
      <c r="F44" s="28" t="s">
        <v>211</v>
      </c>
    </row>
    <row r="45" spans="2:6" hidden="1" outlineLevel="1" x14ac:dyDescent="0.3">
      <c r="B45" s="28" t="s">
        <v>190</v>
      </c>
      <c r="C45" s="28" t="s">
        <v>191</v>
      </c>
      <c r="D45" s="30">
        <v>0</v>
      </c>
      <c r="E45" s="30">
        <v>0</v>
      </c>
      <c r="F45" s="28" t="s">
        <v>211</v>
      </c>
    </row>
    <row r="46" spans="2:6" ht="15" hidden="1" outlineLevel="1" thickBot="1" x14ac:dyDescent="0.35">
      <c r="B46" s="25" t="s">
        <v>192</v>
      </c>
      <c r="C46" s="25" t="s">
        <v>193</v>
      </c>
      <c r="D46" s="29">
        <v>1</v>
      </c>
      <c r="E46" s="29">
        <v>1</v>
      </c>
      <c r="F46" s="25" t="s">
        <v>211</v>
      </c>
    </row>
    <row r="47" spans="2:6" collapsed="1" x14ac:dyDescent="0.3">
      <c r="B47" s="27"/>
      <c r="C47" s="27"/>
      <c r="D47" s="31"/>
      <c r="E47" s="31"/>
      <c r="F47" s="27"/>
    </row>
    <row r="50" spans="1:7" ht="15" thickBot="1" x14ac:dyDescent="0.35">
      <c r="A50" t="s">
        <v>138</v>
      </c>
    </row>
    <row r="51" spans="1:7" ht="15" thickBot="1" x14ac:dyDescent="0.35">
      <c r="B51" s="26" t="s">
        <v>132</v>
      </c>
      <c r="C51" s="26" t="s">
        <v>133</v>
      </c>
      <c r="D51" s="26" t="s">
        <v>139</v>
      </c>
      <c r="E51" s="26" t="s">
        <v>140</v>
      </c>
      <c r="F51" s="26" t="s">
        <v>141</v>
      </c>
      <c r="G51" s="26" t="s">
        <v>142</v>
      </c>
    </row>
    <row r="52" spans="1:7" x14ac:dyDescent="0.3">
      <c r="B52" s="28" t="s">
        <v>194</v>
      </c>
      <c r="C52" s="28" t="s">
        <v>195</v>
      </c>
      <c r="D52" s="30">
        <v>1</v>
      </c>
      <c r="E52" s="28" t="s">
        <v>196</v>
      </c>
      <c r="F52" s="28" t="s">
        <v>197</v>
      </c>
      <c r="G52" s="28">
        <v>0</v>
      </c>
    </row>
    <row r="53" spans="1:7" x14ac:dyDescent="0.3">
      <c r="B53" s="28" t="s">
        <v>198</v>
      </c>
      <c r="C53" s="28" t="s">
        <v>199</v>
      </c>
      <c r="D53" s="30">
        <v>1</v>
      </c>
      <c r="E53" s="28" t="s">
        <v>200</v>
      </c>
      <c r="F53" s="28" t="s">
        <v>197</v>
      </c>
      <c r="G53" s="28">
        <v>0</v>
      </c>
    </row>
    <row r="54" spans="1:7" x14ac:dyDescent="0.3">
      <c r="B54" s="28" t="s">
        <v>201</v>
      </c>
      <c r="C54" s="28" t="s">
        <v>202</v>
      </c>
      <c r="D54" s="30">
        <v>1</v>
      </c>
      <c r="E54" s="28" t="s">
        <v>203</v>
      </c>
      <c r="F54" s="28" t="s">
        <v>197</v>
      </c>
      <c r="G54" s="28">
        <v>0</v>
      </c>
    </row>
    <row r="55" spans="1:7" x14ac:dyDescent="0.3">
      <c r="B55" s="28" t="s">
        <v>204</v>
      </c>
      <c r="C55" s="28" t="s">
        <v>205</v>
      </c>
      <c r="D55" s="30">
        <v>1</v>
      </c>
      <c r="E55" s="28" t="s">
        <v>206</v>
      </c>
      <c r="F55" s="28" t="s">
        <v>197</v>
      </c>
      <c r="G55" s="28">
        <v>0</v>
      </c>
    </row>
    <row r="56" spans="1:7" x14ac:dyDescent="0.3">
      <c r="B56" s="28" t="s">
        <v>207</v>
      </c>
      <c r="C56" s="28" t="s">
        <v>208</v>
      </c>
      <c r="D56" s="30">
        <v>1</v>
      </c>
      <c r="E56" s="28" t="s">
        <v>209</v>
      </c>
      <c r="F56" s="28" t="s">
        <v>197</v>
      </c>
      <c r="G56" s="28">
        <v>0</v>
      </c>
    </row>
    <row r="57" spans="1:7" ht="15" thickBot="1" x14ac:dyDescent="0.35">
      <c r="B57" s="25" t="s">
        <v>210</v>
      </c>
      <c r="C57" s="25"/>
      <c r="D57" s="25"/>
      <c r="E57" s="25"/>
      <c r="F57" s="25"/>
      <c r="G57" s="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6E1D-3054-4F19-9AF5-3D774A435591}">
  <dimension ref="B2:D59"/>
  <sheetViews>
    <sheetView zoomScale="80" zoomScaleNormal="80" workbookViewId="0">
      <selection activeCell="H15" sqref="H15"/>
    </sheetView>
  </sheetViews>
  <sheetFormatPr defaultRowHeight="14.4" x14ac:dyDescent="0.3"/>
  <cols>
    <col min="2" max="2" width="32.5546875" customWidth="1"/>
    <col min="3" max="3" width="11.88671875" bestFit="1" customWidth="1"/>
    <col min="4" max="4" width="21.6640625" customWidth="1"/>
  </cols>
  <sheetData>
    <row r="2" spans="2:4" x14ac:dyDescent="0.3">
      <c r="B2" s="39" t="s">
        <v>86</v>
      </c>
      <c r="C2" s="14">
        <v>4</v>
      </c>
      <c r="D2" s="14" t="s">
        <v>87</v>
      </c>
    </row>
    <row r="3" spans="2:4" x14ac:dyDescent="0.3">
      <c r="B3" s="39" t="s">
        <v>88</v>
      </c>
      <c r="C3" s="14">
        <f>60/C2</f>
        <v>15</v>
      </c>
      <c r="D3" s="14" t="s">
        <v>89</v>
      </c>
    </row>
    <row r="7" spans="2:4" x14ac:dyDescent="0.3">
      <c r="B7" s="94" t="s">
        <v>90</v>
      </c>
    </row>
    <row r="8" spans="2:4" x14ac:dyDescent="0.3">
      <c r="B8" s="41" t="s">
        <v>91</v>
      </c>
      <c r="C8" s="41" t="s">
        <v>48</v>
      </c>
      <c r="D8" s="41" t="s">
        <v>92</v>
      </c>
    </row>
    <row r="9" spans="2:4" x14ac:dyDescent="0.3">
      <c r="B9" s="21">
        <f>_xlfn.POISSON.DIST(D9,$C$3,TRUE)</f>
        <v>3.0590232050182579E-7</v>
      </c>
      <c r="C9" s="18">
        <v>0</v>
      </c>
      <c r="D9" s="14">
        <v>0</v>
      </c>
    </row>
    <row r="10" spans="2:4" x14ac:dyDescent="0.3">
      <c r="B10" s="21">
        <f>_xlfn.POISSON.DIST(D10,$C$3,TRUE)</f>
        <v>4.8944371280292126E-6</v>
      </c>
      <c r="C10" s="22">
        <f>B9</f>
        <v>3.0590232050182579E-7</v>
      </c>
      <c r="D10" s="14">
        <v>1</v>
      </c>
    </row>
    <row r="11" spans="2:4" x14ac:dyDescent="0.3">
      <c r="B11" s="21">
        <f>_xlfn.POISSON.DIST(D11,$C$3,TRUE)</f>
        <v>3.9308448184484612E-5</v>
      </c>
      <c r="C11" s="22">
        <f>B10</f>
        <v>4.8944371280292126E-6</v>
      </c>
      <c r="D11" s="14">
        <v>2</v>
      </c>
    </row>
    <row r="12" spans="2:4" x14ac:dyDescent="0.3">
      <c r="B12" s="21">
        <f t="shared" ref="B12:B59" si="0">_xlfn.POISSON.DIST(D12,$C$3,TRUE)</f>
        <v>2.1137850346676163E-4</v>
      </c>
      <c r="C12" s="22">
        <f>B11</f>
        <v>3.9308448184484612E-5</v>
      </c>
      <c r="D12" s="14">
        <v>3</v>
      </c>
    </row>
    <row r="13" spans="2:4" x14ac:dyDescent="0.3">
      <c r="B13" s="21">
        <f>_xlfn.POISSON.DIST(D13,$C$3,TRUE)</f>
        <v>8.5664121077530042E-4</v>
      </c>
      <c r="C13" s="22">
        <f t="shared" ref="C13:C59" si="1">B12</f>
        <v>2.1137850346676163E-4</v>
      </c>
      <c r="D13" s="14">
        <v>4</v>
      </c>
    </row>
    <row r="14" spans="2:4" x14ac:dyDescent="0.3">
      <c r="B14" s="21">
        <f t="shared" si="0"/>
        <v>2.7924293327009166E-3</v>
      </c>
      <c r="C14" s="22">
        <f t="shared" si="1"/>
        <v>8.5664121077530042E-4</v>
      </c>
      <c r="D14" s="14">
        <v>5</v>
      </c>
    </row>
    <row r="15" spans="2:4" x14ac:dyDescent="0.3">
      <c r="B15" s="21">
        <f t="shared" si="0"/>
        <v>7.6318996375149576E-3</v>
      </c>
      <c r="C15" s="22">
        <f t="shared" si="1"/>
        <v>2.7924293327009166E-3</v>
      </c>
      <c r="D15" s="14">
        <v>6</v>
      </c>
    </row>
    <row r="16" spans="2:4" x14ac:dyDescent="0.3">
      <c r="B16" s="21">
        <f t="shared" si="0"/>
        <v>1.8002193147830761E-2</v>
      </c>
      <c r="C16" s="22">
        <f t="shared" si="1"/>
        <v>7.6318996375149576E-3</v>
      </c>
      <c r="D16" s="14">
        <v>7</v>
      </c>
    </row>
    <row r="17" spans="2:4" x14ac:dyDescent="0.3">
      <c r="B17" s="21">
        <f t="shared" si="0"/>
        <v>3.7446493479672882E-2</v>
      </c>
      <c r="C17" s="22">
        <f t="shared" si="1"/>
        <v>1.8002193147830761E-2</v>
      </c>
      <c r="D17" s="14">
        <v>8</v>
      </c>
    </row>
    <row r="18" spans="2:4" x14ac:dyDescent="0.3">
      <c r="B18" s="21">
        <f t="shared" si="0"/>
        <v>6.9853660699409792E-2</v>
      </c>
      <c r="C18" s="22">
        <f t="shared" si="1"/>
        <v>3.7446493479672882E-2</v>
      </c>
      <c r="D18" s="14">
        <v>9</v>
      </c>
    </row>
    <row r="19" spans="2:4" x14ac:dyDescent="0.3">
      <c r="B19" s="21">
        <f t="shared" si="0"/>
        <v>0.1184644115290151</v>
      </c>
      <c r="C19" s="22">
        <f t="shared" si="1"/>
        <v>6.9853660699409792E-2</v>
      </c>
      <c r="D19" s="14">
        <v>10</v>
      </c>
    </row>
    <row r="20" spans="2:4" x14ac:dyDescent="0.3">
      <c r="B20" s="21">
        <f t="shared" si="0"/>
        <v>0.18475179902393143</v>
      </c>
      <c r="C20" s="22">
        <f t="shared" si="1"/>
        <v>0.1184644115290151</v>
      </c>
      <c r="D20" s="14">
        <v>11</v>
      </c>
    </row>
    <row r="21" spans="2:4" x14ac:dyDescent="0.3">
      <c r="B21" s="21">
        <f t="shared" si="0"/>
        <v>0.26761103339257686</v>
      </c>
      <c r="C21" s="22">
        <f t="shared" si="1"/>
        <v>0.18475179902393143</v>
      </c>
      <c r="D21" s="14">
        <v>12</v>
      </c>
    </row>
    <row r="22" spans="2:4" x14ac:dyDescent="0.3">
      <c r="B22" s="21">
        <f t="shared" si="0"/>
        <v>0.36321784227947546</v>
      </c>
      <c r="C22" s="22">
        <f t="shared" si="1"/>
        <v>0.26761103339257686</v>
      </c>
      <c r="D22" s="14">
        <v>13</v>
      </c>
    </row>
    <row r="23" spans="2:4" x14ac:dyDescent="0.3">
      <c r="B23" s="21">
        <f t="shared" si="0"/>
        <v>0.46565370894400981</v>
      </c>
      <c r="C23" s="22">
        <f t="shared" si="1"/>
        <v>0.36321784227947546</v>
      </c>
      <c r="D23" s="14">
        <v>14</v>
      </c>
    </row>
    <row r="24" spans="2:4" x14ac:dyDescent="0.3">
      <c r="B24" s="21">
        <f t="shared" si="0"/>
        <v>0.56808957560854367</v>
      </c>
      <c r="C24" s="22">
        <f t="shared" si="1"/>
        <v>0.46565370894400981</v>
      </c>
      <c r="D24" s="14">
        <v>15</v>
      </c>
    </row>
    <row r="25" spans="2:4" x14ac:dyDescent="0.3">
      <c r="B25" s="21">
        <f t="shared" si="0"/>
        <v>0.66412320060654451</v>
      </c>
      <c r="C25" s="22">
        <f t="shared" si="1"/>
        <v>0.56808957560854367</v>
      </c>
      <c r="D25" s="14">
        <v>16</v>
      </c>
    </row>
    <row r="26" spans="2:4" x14ac:dyDescent="0.3">
      <c r="B26" s="21">
        <f t="shared" si="0"/>
        <v>0.74885875207536889</v>
      </c>
      <c r="C26" s="22">
        <f t="shared" si="1"/>
        <v>0.66412320060654451</v>
      </c>
      <c r="D26" s="14">
        <v>17</v>
      </c>
    </row>
    <row r="27" spans="2:4" x14ac:dyDescent="0.3">
      <c r="B27" s="21">
        <f t="shared" si="0"/>
        <v>0.81947171163272248</v>
      </c>
      <c r="C27" s="22">
        <f t="shared" si="1"/>
        <v>0.74885875207536889</v>
      </c>
      <c r="D27" s="14">
        <v>18</v>
      </c>
    </row>
    <row r="28" spans="2:4" x14ac:dyDescent="0.3">
      <c r="B28" s="21">
        <f t="shared" si="0"/>
        <v>0.87521878496747518</v>
      </c>
      <c r="C28" s="22">
        <f t="shared" si="1"/>
        <v>0.81947171163272248</v>
      </c>
      <c r="D28" s="14">
        <v>19</v>
      </c>
    </row>
    <row r="29" spans="2:4" x14ac:dyDescent="0.3">
      <c r="B29" s="21">
        <f t="shared" si="0"/>
        <v>0.91702908996853982</v>
      </c>
      <c r="C29" s="22">
        <f t="shared" si="1"/>
        <v>0.87521878496747518</v>
      </c>
      <c r="D29" s="14">
        <v>20</v>
      </c>
    </row>
    <row r="30" spans="2:4" x14ac:dyDescent="0.3">
      <c r="B30" s="21">
        <f t="shared" si="0"/>
        <v>0.94689359354072877</v>
      </c>
      <c r="C30" s="22">
        <f t="shared" si="1"/>
        <v>0.91702908996853982</v>
      </c>
      <c r="D30" s="14">
        <v>21</v>
      </c>
    </row>
    <row r="31" spans="2:4" x14ac:dyDescent="0.3">
      <c r="B31" s="21">
        <f t="shared" si="0"/>
        <v>0.96725575506722128</v>
      </c>
      <c r="C31" s="22">
        <f t="shared" si="1"/>
        <v>0.94689359354072877</v>
      </c>
      <c r="D31" s="14">
        <v>22</v>
      </c>
    </row>
    <row r="32" spans="2:4" x14ac:dyDescent="0.3">
      <c r="B32" s="21">
        <f t="shared" si="0"/>
        <v>0.98053542562797724</v>
      </c>
      <c r="C32" s="22">
        <f t="shared" si="1"/>
        <v>0.96725575506722128</v>
      </c>
      <c r="D32" s="14">
        <v>23</v>
      </c>
    </row>
    <row r="33" spans="2:4" x14ac:dyDescent="0.3">
      <c r="B33" s="21">
        <f t="shared" si="0"/>
        <v>0.98883521972844979</v>
      </c>
      <c r="C33" s="22">
        <f t="shared" si="1"/>
        <v>0.98053542562797724</v>
      </c>
      <c r="D33" s="14">
        <v>24</v>
      </c>
    </row>
    <row r="34" spans="2:4" x14ac:dyDescent="0.3">
      <c r="B34" s="21">
        <f t="shared" si="0"/>
        <v>0.9938150961887332</v>
      </c>
      <c r="C34" s="22">
        <f t="shared" si="1"/>
        <v>0.98883521972844979</v>
      </c>
      <c r="D34" s="14">
        <v>25</v>
      </c>
    </row>
    <row r="35" spans="2:4" x14ac:dyDescent="0.3">
      <c r="B35" s="21">
        <f t="shared" si="0"/>
        <v>0.99668810183889678</v>
      </c>
      <c r="C35" s="22">
        <f t="shared" si="1"/>
        <v>0.9938150961887332</v>
      </c>
      <c r="D35" s="14">
        <v>26</v>
      </c>
    </row>
    <row r="36" spans="2:4" x14ac:dyDescent="0.3">
      <c r="B36" s="21">
        <f t="shared" si="0"/>
        <v>0.99828421608898754</v>
      </c>
      <c r="C36" s="22">
        <f t="shared" si="1"/>
        <v>0.99668810183889678</v>
      </c>
      <c r="D36" s="14">
        <v>27</v>
      </c>
    </row>
    <row r="37" spans="2:4" x14ac:dyDescent="0.3">
      <c r="B37" s="21">
        <f t="shared" si="0"/>
        <v>0.99913927729439345</v>
      </c>
      <c r="C37" s="22">
        <f t="shared" si="1"/>
        <v>0.99828421608898754</v>
      </c>
      <c r="D37" s="14">
        <v>28</v>
      </c>
    </row>
    <row r="38" spans="2:4" x14ac:dyDescent="0.3">
      <c r="B38" s="21">
        <f t="shared" si="0"/>
        <v>0.99958155033167229</v>
      </c>
      <c r="C38" s="22">
        <f t="shared" si="1"/>
        <v>0.99913927729439345</v>
      </c>
      <c r="D38" s="14">
        <v>29</v>
      </c>
    </row>
    <row r="39" spans="2:4" x14ac:dyDescent="0.3">
      <c r="B39" s="21">
        <f t="shared" si="0"/>
        <v>0.99980268685031182</v>
      </c>
      <c r="C39" s="22">
        <f t="shared" si="1"/>
        <v>0.99958155033167229</v>
      </c>
      <c r="D39" s="14">
        <v>30</v>
      </c>
    </row>
    <row r="40" spans="2:4" x14ac:dyDescent="0.3">
      <c r="B40" s="21">
        <f t="shared" si="0"/>
        <v>0.99990968839158889</v>
      </c>
      <c r="C40" s="22">
        <f t="shared" si="1"/>
        <v>0.99980268685031182</v>
      </c>
      <c r="D40" s="14">
        <v>31</v>
      </c>
    </row>
    <row r="41" spans="2:4" x14ac:dyDescent="0.3">
      <c r="B41" s="21">
        <f t="shared" si="0"/>
        <v>0.99995984536406257</v>
      </c>
      <c r="C41" s="22">
        <f t="shared" si="1"/>
        <v>0.99990968839158889</v>
      </c>
      <c r="D41" s="14">
        <v>32</v>
      </c>
    </row>
    <row r="42" spans="2:4" x14ac:dyDescent="0.3">
      <c r="B42" s="21">
        <f t="shared" si="0"/>
        <v>0.99998264398791425</v>
      </c>
      <c r="C42" s="22">
        <f t="shared" si="1"/>
        <v>0.99995984536406257</v>
      </c>
      <c r="D42" s="14">
        <v>33</v>
      </c>
    </row>
    <row r="43" spans="2:4" x14ac:dyDescent="0.3">
      <c r="B43" s="21">
        <f t="shared" si="0"/>
        <v>0.99999270220431935</v>
      </c>
      <c r="C43" s="22">
        <f t="shared" si="1"/>
        <v>0.99998264398791425</v>
      </c>
      <c r="D43" s="14">
        <v>34</v>
      </c>
    </row>
    <row r="44" spans="2:4" x14ac:dyDescent="0.3">
      <c r="B44" s="21">
        <f t="shared" si="0"/>
        <v>0.99999701286849296</v>
      </c>
      <c r="C44" s="22">
        <f t="shared" si="1"/>
        <v>0.99999270220431935</v>
      </c>
      <c r="D44" s="14">
        <v>35</v>
      </c>
    </row>
    <row r="45" spans="2:4" x14ac:dyDescent="0.3">
      <c r="B45" s="21">
        <f t="shared" si="0"/>
        <v>0.99999880897856541</v>
      </c>
      <c r="C45" s="22">
        <f t="shared" si="1"/>
        <v>0.99999701286849296</v>
      </c>
      <c r="D45" s="14">
        <v>36</v>
      </c>
    </row>
    <row r="46" spans="2:4" x14ac:dyDescent="0.3">
      <c r="B46" s="21">
        <f t="shared" si="0"/>
        <v>0.9999995371312973</v>
      </c>
      <c r="C46" s="22">
        <f t="shared" si="1"/>
        <v>0.99999880897856541</v>
      </c>
      <c r="D46" s="14">
        <v>37</v>
      </c>
    </row>
    <row r="47" spans="2:4" x14ac:dyDescent="0.3">
      <c r="B47" s="21">
        <f t="shared" si="0"/>
        <v>0.99999982456000747</v>
      </c>
      <c r="C47" s="22">
        <f t="shared" si="1"/>
        <v>0.9999995371312973</v>
      </c>
      <c r="D47" s="14">
        <v>38</v>
      </c>
    </row>
    <row r="48" spans="2:4" x14ac:dyDescent="0.3">
      <c r="B48" s="21">
        <f t="shared" si="0"/>
        <v>0.99999993510951124</v>
      </c>
      <c r="C48" s="22">
        <f t="shared" si="1"/>
        <v>0.99999982456000747</v>
      </c>
      <c r="D48" s="14">
        <v>39</v>
      </c>
    </row>
    <row r="49" spans="2:4" x14ac:dyDescent="0.3">
      <c r="B49" s="21">
        <f t="shared" si="0"/>
        <v>0.99999997656557515</v>
      </c>
      <c r="C49" s="22">
        <f t="shared" si="1"/>
        <v>0.99999993510951124</v>
      </c>
      <c r="D49" s="14">
        <v>40</v>
      </c>
    </row>
    <row r="50" spans="2:4" x14ac:dyDescent="0.3">
      <c r="B50" s="21">
        <f t="shared" si="0"/>
        <v>0.99999999173242782</v>
      </c>
      <c r="C50" s="22">
        <f t="shared" si="1"/>
        <v>0.99999997656557515</v>
      </c>
      <c r="D50" s="14">
        <v>41</v>
      </c>
    </row>
    <row r="51" spans="2:4" x14ac:dyDescent="0.3">
      <c r="B51" s="21">
        <f t="shared" si="0"/>
        <v>0.99999999714916088</v>
      </c>
      <c r="C51" s="22">
        <f t="shared" si="1"/>
        <v>0.99999999173242782</v>
      </c>
      <c r="D51" s="14">
        <v>42</v>
      </c>
    </row>
    <row r="52" spans="2:4" x14ac:dyDescent="0.3">
      <c r="B52" s="21">
        <f t="shared" si="0"/>
        <v>0.99999999903871895</v>
      </c>
      <c r="C52" s="22">
        <f t="shared" si="1"/>
        <v>0.99999999714916088</v>
      </c>
      <c r="D52" s="14">
        <v>43</v>
      </c>
    </row>
    <row r="53" spans="2:4" x14ac:dyDescent="0.3">
      <c r="B53" s="21">
        <f t="shared" si="0"/>
        <v>0.99999999968288655</v>
      </c>
      <c r="C53" s="22">
        <f t="shared" si="1"/>
        <v>0.99999999903871895</v>
      </c>
      <c r="D53" s="14">
        <v>44</v>
      </c>
    </row>
    <row r="54" spans="2:4" x14ac:dyDescent="0.3">
      <c r="B54" s="21">
        <f t="shared" si="0"/>
        <v>0.99999999989760902</v>
      </c>
      <c r="C54" s="22">
        <f t="shared" si="1"/>
        <v>0.99999999968288655</v>
      </c>
      <c r="D54" s="14">
        <v>45</v>
      </c>
    </row>
    <row r="55" spans="2:4" x14ac:dyDescent="0.3">
      <c r="B55" s="21">
        <f t="shared" si="0"/>
        <v>0.99999999996762723</v>
      </c>
      <c r="C55" s="22">
        <f t="shared" si="1"/>
        <v>0.99999999989760902</v>
      </c>
      <c r="D55" s="14">
        <v>46</v>
      </c>
    </row>
    <row r="56" spans="2:4" x14ac:dyDescent="0.3">
      <c r="B56" s="21">
        <f t="shared" si="0"/>
        <v>0.99999999998997346</v>
      </c>
      <c r="C56" s="22">
        <f t="shared" si="1"/>
        <v>0.99999999996762723</v>
      </c>
      <c r="D56" s="14">
        <v>47</v>
      </c>
    </row>
    <row r="57" spans="2:4" x14ac:dyDescent="0.3">
      <c r="B57" s="21">
        <f t="shared" si="0"/>
        <v>0.99999999999695666</v>
      </c>
      <c r="C57" s="22">
        <f t="shared" si="1"/>
        <v>0.99999999998997346</v>
      </c>
      <c r="D57" s="14">
        <v>48</v>
      </c>
    </row>
    <row r="58" spans="2:4" x14ac:dyDescent="0.3">
      <c r="B58" s="21">
        <f t="shared" si="0"/>
        <v>0.99999999999909439</v>
      </c>
      <c r="C58" s="22">
        <f t="shared" si="1"/>
        <v>0.99999999999695666</v>
      </c>
      <c r="D58" s="14">
        <v>49</v>
      </c>
    </row>
    <row r="59" spans="2:4" x14ac:dyDescent="0.3">
      <c r="B59" s="21">
        <f t="shared" si="0"/>
        <v>0.99999999999973577</v>
      </c>
      <c r="C59" s="22">
        <f t="shared" si="1"/>
        <v>0.99999999999909439</v>
      </c>
      <c r="D59" s="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A757-4A88-46A0-9039-9FD984D38134}">
  <dimension ref="B2:N39"/>
  <sheetViews>
    <sheetView topLeftCell="A14" zoomScale="90" zoomScaleNormal="90" workbookViewId="0">
      <selection activeCell="M16" sqref="M16"/>
    </sheetView>
  </sheetViews>
  <sheetFormatPr defaultRowHeight="14.4" x14ac:dyDescent="0.3"/>
  <cols>
    <col min="2" max="2" width="17.5546875" customWidth="1"/>
    <col min="3" max="3" width="20.77734375" customWidth="1"/>
    <col min="4" max="4" width="12.33203125" customWidth="1"/>
    <col min="5" max="5" width="11.77734375" customWidth="1"/>
    <col min="6" max="6" width="11.6640625" customWidth="1"/>
    <col min="7" max="7" width="14.88671875" customWidth="1"/>
    <col min="8" max="8" width="16.109375" customWidth="1"/>
    <col min="9" max="9" width="18.44140625" customWidth="1"/>
    <col min="10" max="10" width="13.88671875" customWidth="1"/>
    <col min="11" max="11" width="15.88671875" customWidth="1"/>
    <col min="13" max="13" width="16.33203125" customWidth="1"/>
    <col min="14" max="14" width="10" customWidth="1"/>
  </cols>
  <sheetData>
    <row r="2" spans="2:14" x14ac:dyDescent="0.3">
      <c r="B2" s="41" t="s">
        <v>87</v>
      </c>
      <c r="C2" s="14">
        <v>4</v>
      </c>
      <c r="D2" s="41" t="s">
        <v>93</v>
      </c>
    </row>
    <row r="3" spans="2:14" x14ac:dyDescent="0.3">
      <c r="B3" s="41" t="s">
        <v>94</v>
      </c>
      <c r="C3" s="14">
        <f>60/C2</f>
        <v>15</v>
      </c>
      <c r="D3" s="41" t="s">
        <v>95</v>
      </c>
    </row>
    <row r="6" spans="2:14" x14ac:dyDescent="0.3">
      <c r="B6" s="41" t="s">
        <v>96</v>
      </c>
      <c r="C6" s="14">
        <f>60/C7</f>
        <v>3</v>
      </c>
      <c r="D6" s="41" t="s">
        <v>95</v>
      </c>
    </row>
    <row r="7" spans="2:14" x14ac:dyDescent="0.3">
      <c r="B7" s="41" t="s">
        <v>97</v>
      </c>
      <c r="C7" s="14">
        <v>20</v>
      </c>
      <c r="D7" s="14"/>
    </row>
    <row r="10" spans="2:14" ht="15" thickBot="1" x14ac:dyDescent="0.35"/>
    <row r="11" spans="2:14" x14ac:dyDescent="0.3">
      <c r="B11" s="54" t="s">
        <v>98</v>
      </c>
      <c r="C11" s="55"/>
      <c r="D11" s="55"/>
      <c r="E11" s="56"/>
      <c r="F11" s="54" t="s">
        <v>99</v>
      </c>
      <c r="G11" s="55"/>
      <c r="H11" s="56"/>
      <c r="I11" s="54" t="s">
        <v>100</v>
      </c>
      <c r="J11" s="55"/>
      <c r="K11" s="56"/>
      <c r="L11" s="54" t="s">
        <v>101</v>
      </c>
      <c r="M11" s="55"/>
      <c r="N11" s="56"/>
    </row>
    <row r="12" spans="2:14" x14ac:dyDescent="0.3">
      <c r="B12" s="57" t="s">
        <v>102</v>
      </c>
      <c r="C12" s="41" t="s">
        <v>103</v>
      </c>
      <c r="D12" s="41" t="s">
        <v>104</v>
      </c>
      <c r="E12" s="58" t="s">
        <v>213</v>
      </c>
      <c r="F12" s="65" t="s">
        <v>105</v>
      </c>
      <c r="G12" s="41" t="s">
        <v>106</v>
      </c>
      <c r="H12" s="58" t="s">
        <v>107</v>
      </c>
      <c r="I12" s="65" t="s">
        <v>105</v>
      </c>
      <c r="J12" s="41" t="s">
        <v>106</v>
      </c>
      <c r="K12" s="58" t="s">
        <v>107</v>
      </c>
      <c r="L12" s="65" t="s">
        <v>108</v>
      </c>
      <c r="M12" s="41" t="s">
        <v>109</v>
      </c>
      <c r="N12" s="58" t="s">
        <v>110</v>
      </c>
    </row>
    <row r="13" spans="2:14" x14ac:dyDescent="0.3">
      <c r="B13" s="59">
        <v>0</v>
      </c>
      <c r="C13" s="14">
        <v>0</v>
      </c>
      <c r="D13" s="14">
        <v>0</v>
      </c>
      <c r="E13" s="60">
        <v>0</v>
      </c>
      <c r="F13" s="59">
        <v>0</v>
      </c>
      <c r="G13" s="14">
        <v>0</v>
      </c>
      <c r="H13" s="60">
        <v>0</v>
      </c>
      <c r="I13" s="59">
        <v>0</v>
      </c>
      <c r="J13" s="14">
        <v>0</v>
      </c>
      <c r="K13" s="60">
        <v>0</v>
      </c>
      <c r="L13" s="59">
        <v>0</v>
      </c>
      <c r="M13" s="14">
        <v>0</v>
      </c>
      <c r="N13" s="60">
        <v>0</v>
      </c>
    </row>
    <row r="14" spans="2:14" x14ac:dyDescent="0.3">
      <c r="B14" s="59">
        <v>1</v>
      </c>
      <c r="C14" s="14">
        <f>VLOOKUP('6.3 Random Numbers'!B5,'6.1 Poission Distribution'!$C$9:$D$59,2)</f>
        <v>13</v>
      </c>
      <c r="D14" s="14">
        <f>D13+C14</f>
        <v>13</v>
      </c>
      <c r="E14" s="60">
        <f>IF(MAX($H$13:H13)&lt;MAX($K$13:K13),1,2)</f>
        <v>2</v>
      </c>
      <c r="F14" s="59"/>
      <c r="G14" s="14" t="str">
        <f>IF(F14="","",-$C$7*LN(1-'6.3 Random Numbers'!C5))</f>
        <v/>
      </c>
      <c r="H14" s="60" t="str">
        <f>IF(F14="","",F14+G14)</f>
        <v/>
      </c>
      <c r="I14" s="59">
        <f>IF(E14=2,MAX(D14,$K$13:K13),"")</f>
        <v>13</v>
      </c>
      <c r="J14" s="17">
        <f>IF(I14="","",-$C$7*LN(1-'6.3 Random Numbers'!D5))</f>
        <v>2.3064339519091734</v>
      </c>
      <c r="K14" s="66">
        <f>IF(I14="","",I14+J14)</f>
        <v>15.306433951909174</v>
      </c>
      <c r="L14" s="59" t="str">
        <f>IF(F14="","",F14-MAX($H$13:H13))</f>
        <v/>
      </c>
      <c r="M14" s="14">
        <f>IF(I14="","",I14-MAX($K$13:K13))</f>
        <v>13</v>
      </c>
      <c r="N14" s="60">
        <f>MAX(F14,I14)-D14</f>
        <v>0</v>
      </c>
    </row>
    <row r="15" spans="2:14" x14ac:dyDescent="0.3">
      <c r="B15" s="59">
        <v>2</v>
      </c>
      <c r="C15" s="14">
        <f>VLOOKUP('6.3 Random Numbers'!B6,'6.1 Poission Distribution'!$C$9:$D$59,2)</f>
        <v>17</v>
      </c>
      <c r="D15" s="14">
        <f t="shared" ref="D15:D28" si="0">D14+C15</f>
        <v>30</v>
      </c>
      <c r="E15" s="60">
        <f>IF(MAX($H$13:H14)&lt;MAX($K$13:K14),1,2)</f>
        <v>1</v>
      </c>
      <c r="F15" s="59">
        <f>IF(E15=1,MAX(D15,$H$13:H14),"")</f>
        <v>30</v>
      </c>
      <c r="G15" s="17">
        <f>IF(F15="","",-$C$7*LN(1-'6.3 Random Numbers'!C6))</f>
        <v>10.817721453004609</v>
      </c>
      <c r="H15" s="66">
        <f>IF(F15="","",F15+G15)</f>
        <v>40.817721453004609</v>
      </c>
      <c r="I15" s="67" t="str">
        <f>IF(E15=2,MAX(D15,$K$13:K14),"")</f>
        <v/>
      </c>
      <c r="J15" s="17" t="str">
        <f>IF(I15="","",-$C$7*LN(1-'6.3 Random Numbers'!D6))</f>
        <v/>
      </c>
      <c r="K15" s="66" t="str">
        <f>IF(I15="","",I15+J15)</f>
        <v/>
      </c>
      <c r="L15" s="59">
        <f>IF(F15="","",F15-MAX($H$13:H14))</f>
        <v>30</v>
      </c>
      <c r="M15" s="14" t="str">
        <f>IF(I15="","",I15-MAX($K$13:K14))</f>
        <v/>
      </c>
      <c r="N15" s="60">
        <f>MAX(F15,I15)-D15</f>
        <v>0</v>
      </c>
    </row>
    <row r="16" spans="2:14" x14ac:dyDescent="0.3">
      <c r="B16" s="59">
        <v>3</v>
      </c>
      <c r="C16" s="14">
        <f>VLOOKUP('6.3 Random Numbers'!B7,'6.1 Poission Distribution'!$C$9:$D$59,2)</f>
        <v>15</v>
      </c>
      <c r="D16" s="14">
        <f t="shared" si="0"/>
        <v>45</v>
      </c>
      <c r="E16" s="60">
        <f>IF(MAX($H$13:H15)&lt;MAX($K$13:K15),1,2)</f>
        <v>2</v>
      </c>
      <c r="F16" s="59" t="str">
        <f>IF(E16=1,MAX(D16,$H$13:H15),"")</f>
        <v/>
      </c>
      <c r="G16" s="14" t="str">
        <f>IF(F16="","",-$C$7*LN(1-'6.3 Random Numbers'!C7))</f>
        <v/>
      </c>
      <c r="H16" s="66" t="str">
        <f>IF(F16="","",F16+G16)</f>
        <v/>
      </c>
      <c r="I16" s="67">
        <f>IF(E16=2,MAX(D16,$K$13:K15),"")</f>
        <v>45</v>
      </c>
      <c r="J16" s="17">
        <f>IF(I16="","",-$C$7*LN(1-'6.3 Random Numbers'!D7))</f>
        <v>13.017398044137572</v>
      </c>
      <c r="K16" s="66">
        <f>IF(I16="","",I16+J16)</f>
        <v>58.017398044137572</v>
      </c>
      <c r="L16" s="67" t="str">
        <f>IF(F16="","",F16-MAX($H$13:H15))</f>
        <v/>
      </c>
      <c r="M16" s="17">
        <f>IF(I16="","",I16-MAX($K$13:K15))</f>
        <v>29.693566048090826</v>
      </c>
      <c r="N16" s="60">
        <f>MAX(F16,I16)-D16</f>
        <v>0</v>
      </c>
    </row>
    <row r="17" spans="2:14" x14ac:dyDescent="0.3">
      <c r="B17" s="59">
        <v>4</v>
      </c>
      <c r="C17" s="14">
        <f>VLOOKUP('6.3 Random Numbers'!B8,'6.1 Poission Distribution'!$C$9:$D$59,2)</f>
        <v>12</v>
      </c>
      <c r="D17" s="14">
        <f>D16+C17</f>
        <v>57</v>
      </c>
      <c r="E17" s="61">
        <f>IF(MAX($H$13:H16)&lt;MAX($K$13:K16),1,2)</f>
        <v>1</v>
      </c>
      <c r="F17" s="67">
        <f>IF(E17=1,MAX(D17,$H$13:H16),"")</f>
        <v>57</v>
      </c>
      <c r="G17" s="17">
        <f>IF(F17="","",-$C$7*LN(1-'6.3 Random Numbers'!C8))</f>
        <v>5.5481917305289752</v>
      </c>
      <c r="H17" s="66">
        <f>IF(F17="","",F17+G17)</f>
        <v>62.548191730528977</v>
      </c>
      <c r="I17" s="67" t="str">
        <f>IF(E17=2,MAX(D17,$K$13:K16),"")</f>
        <v/>
      </c>
      <c r="J17" s="17" t="str">
        <f>IF(I17="","",-$C$7*LN(1-'6.3 Random Numbers'!D8))</f>
        <v/>
      </c>
      <c r="K17" s="66" t="str">
        <f>IF(I17="","",I17+J17)</f>
        <v/>
      </c>
      <c r="L17" s="67">
        <f>IF(F17="","",F17-MAX($H$13:H16))</f>
        <v>16.182278546995391</v>
      </c>
      <c r="M17" s="17" t="str">
        <f>IF(I17="","",I17-MAX($K$13:K16))</f>
        <v/>
      </c>
      <c r="N17" s="66">
        <f>MAX(F17,I17)-D17</f>
        <v>0</v>
      </c>
    </row>
    <row r="18" spans="2:14" x14ac:dyDescent="0.3">
      <c r="B18" s="59">
        <v>5</v>
      </c>
      <c r="C18" s="14">
        <f>VLOOKUP('6.3 Random Numbers'!B9,'6.1 Poission Distribution'!$C$9:$D$59,2)</f>
        <v>14</v>
      </c>
      <c r="D18" s="14">
        <f>D17+C18</f>
        <v>71</v>
      </c>
      <c r="E18" s="61">
        <f>IF(MAX($H$13:H17)&lt;MAX($K$13:K17),1,2)</f>
        <v>2</v>
      </c>
      <c r="F18" s="67" t="str">
        <f>IF(E18=1,MAX(D18,$H$13:H17),"")</f>
        <v/>
      </c>
      <c r="G18" s="14" t="str">
        <f>IF(F18="","",-$C$7*LN(1-'6.3 Random Numbers'!C9))</f>
        <v/>
      </c>
      <c r="H18" s="66" t="str">
        <f t="shared" ref="H18:H28" si="1">IF(F18="","",F18+G18)</f>
        <v/>
      </c>
      <c r="I18" s="67">
        <f>IF(E18=2,MAX(D18,$K$13:K17),"")</f>
        <v>71</v>
      </c>
      <c r="J18" s="17">
        <f>IF(I18="","",-$C$7*LN(1-'6.3 Random Numbers'!D9))</f>
        <v>19.792532981829918</v>
      </c>
      <c r="K18" s="66">
        <f t="shared" ref="K18:K28" si="2">IF(I18="","",I18+J18)</f>
        <v>90.792532981829922</v>
      </c>
      <c r="L18" s="67" t="str">
        <f>IF(F18="","",F18-MAX($H$13:H17))</f>
        <v/>
      </c>
      <c r="M18" s="17">
        <f>IF(I18="","",I18-MAX($K$13:K17))</f>
        <v>12.982601955862428</v>
      </c>
      <c r="N18" s="66">
        <f t="shared" ref="N18:N28" si="3">MAX(F18,I18)-D18</f>
        <v>0</v>
      </c>
    </row>
    <row r="19" spans="2:14" x14ac:dyDescent="0.3">
      <c r="B19" s="59">
        <v>6</v>
      </c>
      <c r="C19" s="14">
        <f>VLOOKUP('6.3 Random Numbers'!B10,'6.1 Poission Distribution'!$C$9:$D$59,2)</f>
        <v>21</v>
      </c>
      <c r="D19" s="14">
        <f t="shared" si="0"/>
        <v>92</v>
      </c>
      <c r="E19" s="61">
        <f>IF(MAX($H$13:H18)&lt;MAX($K$13:K18),1,2)</f>
        <v>1</v>
      </c>
      <c r="F19" s="67">
        <f>IF(E19=1,MAX(D19,$H$13:H18),"")</f>
        <v>92</v>
      </c>
      <c r="G19" s="17">
        <f>IF(F19="","",-$C$7*LN(1-'6.3 Random Numbers'!C10))</f>
        <v>40.092812070774059</v>
      </c>
      <c r="H19" s="66">
        <f t="shared" si="1"/>
        <v>132.09281207077407</v>
      </c>
      <c r="I19" s="67" t="str">
        <f>IF(E19=2,MAX(D19,$K$13:K18),"")</f>
        <v/>
      </c>
      <c r="J19" s="17" t="str">
        <f>IF(I19="","",-$C$7*LN(1-'6.3 Random Numbers'!D10))</f>
        <v/>
      </c>
      <c r="K19" s="66" t="str">
        <f t="shared" si="2"/>
        <v/>
      </c>
      <c r="L19" s="67">
        <f>IF(F19="","",F19-MAX($H$13:H18))</f>
        <v>29.451808269471023</v>
      </c>
      <c r="M19" s="17" t="str">
        <f>IF(I19="","",I19-MAX($K$13:K18))</f>
        <v/>
      </c>
      <c r="N19" s="66">
        <f t="shared" si="3"/>
        <v>0</v>
      </c>
    </row>
    <row r="20" spans="2:14" x14ac:dyDescent="0.3">
      <c r="B20" s="59">
        <v>7</v>
      </c>
      <c r="C20" s="14">
        <f>VLOOKUP('6.3 Random Numbers'!B11,'6.1 Poission Distribution'!$C$9:$D$59,2)</f>
        <v>12</v>
      </c>
      <c r="D20" s="14">
        <f t="shared" si="0"/>
        <v>104</v>
      </c>
      <c r="E20" s="61">
        <f>IF(MAX($H$13:H19)&lt;MAX($K$13:K19),1,2)</f>
        <v>2</v>
      </c>
      <c r="F20" s="67" t="str">
        <f>IF(E20=1,MAX(D20,$H$13:H19),"")</f>
        <v/>
      </c>
      <c r="G20" s="14" t="str">
        <f>IF(F20="","",-$C$7*LN(1-'6.3 Random Numbers'!C11))</f>
        <v/>
      </c>
      <c r="H20" s="66" t="str">
        <f t="shared" si="1"/>
        <v/>
      </c>
      <c r="I20" s="67">
        <f>IF(E20=2,MAX(D20,$K$13:K19),"")</f>
        <v>104</v>
      </c>
      <c r="J20" s="17">
        <f>IF(I20="","",-$C$7*LN(1-'6.3 Random Numbers'!D11))</f>
        <v>1.6408734127202063</v>
      </c>
      <c r="K20" s="66">
        <f t="shared" si="2"/>
        <v>105.64087341272021</v>
      </c>
      <c r="L20" s="67" t="str">
        <f>IF(F20="","",F20-MAX($H$13:H19))</f>
        <v/>
      </c>
      <c r="M20" s="17">
        <f>IF(I20="","",I20-MAX($K$13:K19))</f>
        <v>13.207467018170078</v>
      </c>
      <c r="N20" s="66">
        <f>MAX(F20,I20)-D20</f>
        <v>0</v>
      </c>
    </row>
    <row r="21" spans="2:14" x14ac:dyDescent="0.3">
      <c r="B21" s="59">
        <v>8</v>
      </c>
      <c r="C21" s="14">
        <f>VLOOKUP('6.3 Random Numbers'!B12,'6.1 Poission Distribution'!$C$9:$D$59,2)</f>
        <v>24</v>
      </c>
      <c r="D21" s="14">
        <f t="shared" si="0"/>
        <v>128</v>
      </c>
      <c r="E21" s="61">
        <f>IF(MAX($H$13:H20)&lt;MAX($K$13:K20),1,2)</f>
        <v>2</v>
      </c>
      <c r="F21" s="67" t="str">
        <f>IF(E21=1,MAX(D21,$H$13:H20),"")</f>
        <v/>
      </c>
      <c r="G21" s="14" t="str">
        <f>IF(F21="","",-$C$7*LN(1-'6.3 Random Numbers'!C12))</f>
        <v/>
      </c>
      <c r="H21" s="66" t="str">
        <f t="shared" si="1"/>
        <v/>
      </c>
      <c r="I21" s="67">
        <f>IF(E21=2,MAX(D21,$K$13:K20),"")</f>
        <v>128</v>
      </c>
      <c r="J21" s="17">
        <f>IF(I21="","",-$C$7*LN(1-'6.3 Random Numbers'!D12))</f>
        <v>7.4498044483482246</v>
      </c>
      <c r="K21" s="66">
        <f t="shared" si="2"/>
        <v>135.44980444834823</v>
      </c>
      <c r="L21" s="67" t="str">
        <f>IF(F21="","",F21-MAX($H$13:H20))</f>
        <v/>
      </c>
      <c r="M21" s="17">
        <f>IF(I21="","",I21-MAX($K$13:K20))</f>
        <v>22.359126587279789</v>
      </c>
      <c r="N21" s="66">
        <f t="shared" si="3"/>
        <v>0</v>
      </c>
    </row>
    <row r="22" spans="2:14" x14ac:dyDescent="0.3">
      <c r="B22" s="59">
        <v>9</v>
      </c>
      <c r="C22" s="14">
        <f>VLOOKUP('6.3 Random Numbers'!B13,'6.1 Poission Distribution'!$C$9:$D$59,2)</f>
        <v>18</v>
      </c>
      <c r="D22" s="14">
        <f t="shared" si="0"/>
        <v>146</v>
      </c>
      <c r="E22" s="61">
        <f>IF(MAX($H$13:H21)&lt;MAX($K$13:K21),1,2)</f>
        <v>1</v>
      </c>
      <c r="F22" s="67">
        <f>IF(E22=1,MAX(D22,$H$13:H21),"")</f>
        <v>146</v>
      </c>
      <c r="G22" s="17">
        <f>IF(F22="","",-$C$7*LN(1-'6.3 Random Numbers'!C13))</f>
        <v>6.5347111631284616</v>
      </c>
      <c r="H22" s="66">
        <f t="shared" si="1"/>
        <v>152.53471116312846</v>
      </c>
      <c r="I22" s="67" t="str">
        <f>IF(E22=2,MAX(D22,$K$13:K21),"")</f>
        <v/>
      </c>
      <c r="J22" s="17" t="str">
        <f>IF(I22="","",-$C$7*LN(1-'6.3 Random Numbers'!D13))</f>
        <v/>
      </c>
      <c r="K22" s="66" t="str">
        <f t="shared" si="2"/>
        <v/>
      </c>
      <c r="L22" s="67">
        <f>IF(F22="","",F22-MAX($H$13:H21))</f>
        <v>13.907187929225927</v>
      </c>
      <c r="M22" s="17" t="str">
        <f>IF(I22="","",I22-MAX($K$13:K21))</f>
        <v/>
      </c>
      <c r="N22" s="66">
        <f t="shared" si="3"/>
        <v>0</v>
      </c>
    </row>
    <row r="23" spans="2:14" x14ac:dyDescent="0.3">
      <c r="B23" s="59">
        <v>10</v>
      </c>
      <c r="C23" s="14">
        <f>VLOOKUP('6.3 Random Numbers'!B14,'6.1 Poission Distribution'!$C$9:$D$59,2)</f>
        <v>10</v>
      </c>
      <c r="D23" s="14">
        <f t="shared" si="0"/>
        <v>156</v>
      </c>
      <c r="E23" s="61">
        <f>IF(MAX($H$13:H22)&lt;MAX($K$13:K22),1,2)</f>
        <v>2</v>
      </c>
      <c r="F23" s="67" t="str">
        <f>IF(E23=1,MAX(D23,$H$13:H22),"")</f>
        <v/>
      </c>
      <c r="G23" s="14" t="str">
        <f>IF(F23="","",-$C$7*LN(1-'6.3 Random Numbers'!C14))</f>
        <v/>
      </c>
      <c r="H23" s="66" t="str">
        <f t="shared" si="1"/>
        <v/>
      </c>
      <c r="I23" s="67">
        <f>IF(E23=2,MAX(D23,$K$13:K22),"")</f>
        <v>156</v>
      </c>
      <c r="J23" s="17">
        <f>IF(I23="","",-$C$7*LN(1-'6.3 Random Numbers'!D14))</f>
        <v>53.6946671216079</v>
      </c>
      <c r="K23" s="66">
        <f t="shared" si="2"/>
        <v>209.69466712160789</v>
      </c>
      <c r="L23" s="67" t="str">
        <f>IF(F23="","",F23-MAX($H$13:H22))</f>
        <v/>
      </c>
      <c r="M23" s="17">
        <f>IF(I23="","",I23-MAX($K$13:K22))</f>
        <v>20.550195551651768</v>
      </c>
      <c r="N23" s="66">
        <f t="shared" si="3"/>
        <v>0</v>
      </c>
    </row>
    <row r="24" spans="2:14" x14ac:dyDescent="0.3">
      <c r="B24" s="59">
        <v>11</v>
      </c>
      <c r="C24" s="14">
        <f>VLOOKUP('6.3 Random Numbers'!B15,'6.1 Poission Distribution'!$C$9:$D$59,2)</f>
        <v>15</v>
      </c>
      <c r="D24" s="14">
        <f t="shared" si="0"/>
        <v>171</v>
      </c>
      <c r="E24" s="61">
        <f>IF(MAX($H$13:H23)&lt;MAX($K$13:K23),1,2)</f>
        <v>1</v>
      </c>
      <c r="F24" s="67">
        <f>IF(E24=1,MAX(D24,$H$13:H23),"")</f>
        <v>171</v>
      </c>
      <c r="G24" s="17">
        <f>IF(F24="","",-$C$7*LN(1-'6.3 Random Numbers'!C15))</f>
        <v>24.693248957236122</v>
      </c>
      <c r="H24" s="66">
        <f t="shared" si="1"/>
        <v>195.69324895723611</v>
      </c>
      <c r="I24" s="67" t="str">
        <f>IF(E24=2,MAX(D24,$K$13:K23),"")</f>
        <v/>
      </c>
      <c r="J24" s="17" t="str">
        <f>IF(I24="","",-$C$7*LN(1-'6.3 Random Numbers'!D15))</f>
        <v/>
      </c>
      <c r="K24" s="66" t="str">
        <f t="shared" si="2"/>
        <v/>
      </c>
      <c r="L24" s="67">
        <f>IF(F24="","",F24-MAX($H$13:H23))</f>
        <v>18.465288836871537</v>
      </c>
      <c r="M24" s="17" t="str">
        <f>IF(I24="","",I24-MAX($K$13:K23))</f>
        <v/>
      </c>
      <c r="N24" s="66">
        <f t="shared" si="3"/>
        <v>0</v>
      </c>
    </row>
    <row r="25" spans="2:14" x14ac:dyDescent="0.3">
      <c r="B25" s="59">
        <v>12</v>
      </c>
      <c r="C25" s="14">
        <f>VLOOKUP('6.3 Random Numbers'!B16,'6.1 Poission Distribution'!$C$9:$D$59,2)</f>
        <v>9</v>
      </c>
      <c r="D25" s="14">
        <f t="shared" si="0"/>
        <v>180</v>
      </c>
      <c r="E25" s="61">
        <f>IF(MAX($H$13:H24)&lt;MAX($K$13:K24),1,2)</f>
        <v>1</v>
      </c>
      <c r="F25" s="67">
        <f>IF(E25=1,MAX(D25,$H$13:H24),"")</f>
        <v>195.69324895723611</v>
      </c>
      <c r="G25" s="17">
        <f>IF(F25="","",-$C$7*LN(1-'6.3 Random Numbers'!C16))</f>
        <v>5.717255812338788</v>
      </c>
      <c r="H25" s="66">
        <f t="shared" si="1"/>
        <v>201.41050476957489</v>
      </c>
      <c r="I25" s="67" t="str">
        <f>IF(E25=2,MAX(D25,$K$13:K24),"")</f>
        <v/>
      </c>
      <c r="J25" s="17" t="str">
        <f>IF(I25="","",-$C$7*LN(1-'6.3 Random Numbers'!D16))</f>
        <v/>
      </c>
      <c r="K25" s="66" t="str">
        <f t="shared" si="2"/>
        <v/>
      </c>
      <c r="L25" s="67">
        <f>IF(F25="","",F25-MAX($H$13:H24))</f>
        <v>0</v>
      </c>
      <c r="M25" s="17" t="str">
        <f>IF(I25="","",I25-MAX($K$13:K24))</f>
        <v/>
      </c>
      <c r="N25" s="66">
        <f t="shared" si="3"/>
        <v>15.693248957236108</v>
      </c>
    </row>
    <row r="26" spans="2:14" x14ac:dyDescent="0.3">
      <c r="B26" s="59">
        <v>13</v>
      </c>
      <c r="C26" s="14">
        <f>VLOOKUP('6.3 Random Numbers'!B17,'6.1 Poission Distribution'!$C$9:$D$59,2)</f>
        <v>15</v>
      </c>
      <c r="D26" s="14">
        <f t="shared" si="0"/>
        <v>195</v>
      </c>
      <c r="E26" s="61">
        <f>IF(MAX($H$13:H25)&lt;MAX($K$13:K25),1,2)</f>
        <v>1</v>
      </c>
      <c r="F26" s="67">
        <f>IF(E26=1,MAX(D26,$H$13:H25),"")</f>
        <v>201.41050476957489</v>
      </c>
      <c r="G26" s="17">
        <f>IF(F26="","",-$C$7*LN(1-'6.3 Random Numbers'!C17))</f>
        <v>91.720723947573589</v>
      </c>
      <c r="H26" s="66">
        <f t="shared" si="1"/>
        <v>293.13122871714847</v>
      </c>
      <c r="I26" s="67" t="str">
        <f>IF(E26=2,MAX(D26,$K$13:K25),"")</f>
        <v/>
      </c>
      <c r="J26" s="17" t="str">
        <f>IF(I26="","",-$C$7*LN(1-'6.3 Random Numbers'!D17))</f>
        <v/>
      </c>
      <c r="K26" s="66" t="str">
        <f t="shared" si="2"/>
        <v/>
      </c>
      <c r="L26" s="67">
        <f>IF(F26="","",F26-MAX($H$13:H25))</f>
        <v>0</v>
      </c>
      <c r="M26" s="17" t="str">
        <f>IF(I26="","",I26-MAX($K$13:K25))</f>
        <v/>
      </c>
      <c r="N26" s="66">
        <f t="shared" si="3"/>
        <v>6.4105047695748851</v>
      </c>
    </row>
    <row r="27" spans="2:14" x14ac:dyDescent="0.3">
      <c r="B27" s="59">
        <v>14</v>
      </c>
      <c r="C27" s="14">
        <f>VLOOKUP('6.3 Random Numbers'!B18,'6.1 Poission Distribution'!$C$9:$D$59,2)</f>
        <v>15</v>
      </c>
      <c r="D27" s="14">
        <f t="shared" si="0"/>
        <v>210</v>
      </c>
      <c r="E27" s="61">
        <f>IF(MAX($H$13:H26)&lt;MAX($K$13:K26),1,2)</f>
        <v>2</v>
      </c>
      <c r="F27" s="67" t="str">
        <f>IF(E27=1,MAX(D27,$H$13:H26),"")</f>
        <v/>
      </c>
      <c r="G27" s="14" t="str">
        <f>IF(F27="","",-$C$7*LN(1-'6.3 Random Numbers'!C18))</f>
        <v/>
      </c>
      <c r="H27" s="66" t="str">
        <f t="shared" si="1"/>
        <v/>
      </c>
      <c r="I27" s="67">
        <f>IF(E27=2,MAX(D27,$K$13:K26),"")</f>
        <v>210</v>
      </c>
      <c r="J27" s="17">
        <f>IF(I27="","",-$C$7*LN(1-'6.3 Random Numbers'!D18))</f>
        <v>4.4724866679128308</v>
      </c>
      <c r="K27" s="66">
        <f t="shared" si="2"/>
        <v>214.47248666791282</v>
      </c>
      <c r="L27" s="67" t="str">
        <f>IF(F27="","",F27-MAX($H$13:H26))</f>
        <v/>
      </c>
      <c r="M27" s="17">
        <f>IF(I27="","",I27-MAX($K$13:K26))</f>
        <v>0.30533287839210743</v>
      </c>
      <c r="N27" s="66">
        <f t="shared" si="3"/>
        <v>0</v>
      </c>
    </row>
    <row r="28" spans="2:14" ht="15" thickBot="1" x14ac:dyDescent="0.35">
      <c r="B28" s="62">
        <v>15</v>
      </c>
      <c r="C28" s="63">
        <f>VLOOKUP('6.3 Random Numbers'!B19,'6.1 Poission Distribution'!$C$9:$D$59,2)</f>
        <v>24</v>
      </c>
      <c r="D28" s="63">
        <f t="shared" si="0"/>
        <v>234</v>
      </c>
      <c r="E28" s="64">
        <f>IF(MAX($H$13:H27)&lt;MAX($K$13:K27),1,2)</f>
        <v>2</v>
      </c>
      <c r="F28" s="68" t="str">
        <f>IF(E28=1,MAX(D28,$H$13:H27),"")</f>
        <v/>
      </c>
      <c r="G28" s="63" t="str">
        <f>IF(F28="","",-$C$7*LN(1-'6.3 Random Numbers'!C19))</f>
        <v/>
      </c>
      <c r="H28" s="69" t="str">
        <f t="shared" si="1"/>
        <v/>
      </c>
      <c r="I28" s="68">
        <f>IF(E28=2,MAX(D28,$K$13:K27),"")</f>
        <v>234</v>
      </c>
      <c r="J28" s="70">
        <f>IF(I28="","",-$C$7*LN(1-'6.3 Random Numbers'!D19))</f>
        <v>3.3879686500039945</v>
      </c>
      <c r="K28" s="69">
        <f t="shared" si="2"/>
        <v>237.38796865000398</v>
      </c>
      <c r="L28" s="68" t="str">
        <f>IF(F28="","",F28-MAX($H$13:H27))</f>
        <v/>
      </c>
      <c r="M28" s="70">
        <f>IF(I28="","",I28-MAX($K$13:K27))</f>
        <v>19.527513332087182</v>
      </c>
      <c r="N28" s="69">
        <f t="shared" si="3"/>
        <v>0</v>
      </c>
    </row>
    <row r="29" spans="2:14" x14ac:dyDescent="0.3">
      <c r="I29" s="50"/>
      <c r="J29" s="50"/>
      <c r="K29" s="50"/>
      <c r="L29" s="50"/>
      <c r="M29" s="50"/>
      <c r="N29" s="50"/>
    </row>
    <row r="30" spans="2:14" x14ac:dyDescent="0.3">
      <c r="I30" s="51"/>
      <c r="J30" s="52"/>
      <c r="K30" s="51"/>
      <c r="L30" s="52"/>
      <c r="M30" s="51"/>
      <c r="N30" s="52"/>
    </row>
    <row r="31" spans="2:14" x14ac:dyDescent="0.3">
      <c r="I31" s="51"/>
      <c r="J31" s="52"/>
      <c r="K31" s="51"/>
      <c r="L31" s="53"/>
      <c r="M31" s="51"/>
      <c r="N31" s="53"/>
    </row>
    <row r="32" spans="2:14" x14ac:dyDescent="0.3">
      <c r="D32" s="39" t="s">
        <v>110</v>
      </c>
      <c r="E32" s="43"/>
      <c r="G32" s="39" t="s">
        <v>111</v>
      </c>
      <c r="H32" s="43"/>
      <c r="I32" s="51"/>
      <c r="J32" s="52"/>
      <c r="K32" s="52"/>
      <c r="L32" s="52"/>
      <c r="M32" s="52"/>
      <c r="N32" s="52"/>
    </row>
    <row r="33" spans="4:8" x14ac:dyDescent="0.3">
      <c r="D33" s="39" t="s">
        <v>112</v>
      </c>
      <c r="E33" s="17">
        <f>SUM(N13:N28)</f>
        <v>22.103753726810993</v>
      </c>
      <c r="G33" s="39" t="s">
        <v>113</v>
      </c>
      <c r="H33" s="17">
        <f>SUM(L13:L28)</f>
        <v>108.00656358256387</v>
      </c>
    </row>
    <row r="34" spans="4:8" x14ac:dyDescent="0.3">
      <c r="D34" s="39" t="s">
        <v>114</v>
      </c>
      <c r="E34" s="17">
        <f>AVERAGE(N13:N28)</f>
        <v>1.3814846079256871</v>
      </c>
      <c r="G34" s="39" t="s">
        <v>115</v>
      </c>
      <c r="H34" s="23">
        <f>$H$33/MAX(H13:H28)</f>
        <v>0.36845805905853446</v>
      </c>
    </row>
    <row r="35" spans="4:8" x14ac:dyDescent="0.3">
      <c r="D35" s="39" t="s">
        <v>116</v>
      </c>
      <c r="E35" s="17">
        <f>MAX(N13:N28)</f>
        <v>15.693248957236108</v>
      </c>
    </row>
    <row r="37" spans="4:8" x14ac:dyDescent="0.3">
      <c r="G37" s="39" t="s">
        <v>117</v>
      </c>
      <c r="H37" s="43"/>
    </row>
    <row r="38" spans="4:8" x14ac:dyDescent="0.3">
      <c r="G38" s="39" t="s">
        <v>113</v>
      </c>
      <c r="H38" s="17">
        <f>SUM(M13:M28)</f>
        <v>131.62580337153418</v>
      </c>
    </row>
    <row r="39" spans="4:8" x14ac:dyDescent="0.3">
      <c r="G39" s="39" t="s">
        <v>115</v>
      </c>
      <c r="H39" s="24">
        <f>H38/MAX(K13:K28)</f>
        <v>0.55447546107780377</v>
      </c>
    </row>
  </sheetData>
  <mergeCells count="7">
    <mergeCell ref="B11:E11"/>
    <mergeCell ref="F11:H11"/>
    <mergeCell ref="I11:K11"/>
    <mergeCell ref="L11:N11"/>
    <mergeCell ref="M29:N29"/>
    <mergeCell ref="K29:L29"/>
    <mergeCell ref="I29:J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C445-5876-4C44-A959-6BAA587913D9}">
  <dimension ref="B2:D39"/>
  <sheetViews>
    <sheetView tabSelected="1" workbookViewId="0">
      <selection activeCell="H12" sqref="H12"/>
    </sheetView>
  </sheetViews>
  <sheetFormatPr defaultRowHeight="14.4" x14ac:dyDescent="0.3"/>
  <cols>
    <col min="2" max="2" width="11.109375" customWidth="1"/>
    <col min="3" max="3" width="13.44140625" customWidth="1"/>
    <col min="4" max="4" width="10.44140625" customWidth="1"/>
  </cols>
  <sheetData>
    <row r="2" spans="2:4" x14ac:dyDescent="0.3">
      <c r="B2" s="41" t="s">
        <v>43</v>
      </c>
      <c r="C2" s="14">
        <v>2866</v>
      </c>
    </row>
    <row r="4" spans="2:4" x14ac:dyDescent="0.3">
      <c r="B4" s="39" t="s">
        <v>67</v>
      </c>
      <c r="C4" s="39" t="s">
        <v>68</v>
      </c>
      <c r="D4" s="39" t="s">
        <v>118</v>
      </c>
    </row>
    <row r="5" spans="2:4" x14ac:dyDescent="0.3">
      <c r="B5" s="48">
        <v>0.28678243354594563</v>
      </c>
      <c r="C5" s="48">
        <v>0.32752464369640188</v>
      </c>
      <c r="D5" s="48">
        <v>0.10892056031983398</v>
      </c>
    </row>
    <row r="6" spans="2:4" x14ac:dyDescent="0.3">
      <c r="B6" s="48">
        <v>0.73311563463240459</v>
      </c>
      <c r="C6" s="48">
        <v>0.41776787621692557</v>
      </c>
      <c r="D6" s="48">
        <v>0.80510879848628192</v>
      </c>
    </row>
    <row r="7" spans="2:4" x14ac:dyDescent="0.3">
      <c r="B7" s="48">
        <v>0.48078859828485976</v>
      </c>
      <c r="C7" s="48">
        <v>0.95593127231666009</v>
      </c>
      <c r="D7" s="48">
        <v>0.47840815454573199</v>
      </c>
    </row>
    <row r="8" spans="2:4" x14ac:dyDescent="0.3">
      <c r="B8" s="48">
        <v>0.20343638416699728</v>
      </c>
      <c r="C8" s="48">
        <v>0.24225592822046571</v>
      </c>
      <c r="D8" s="48">
        <v>0.7100436414685507</v>
      </c>
    </row>
    <row r="9" spans="2:4" x14ac:dyDescent="0.3">
      <c r="B9" s="48">
        <v>0.37574388866847741</v>
      </c>
      <c r="C9" s="48">
        <v>0.20615253151036103</v>
      </c>
      <c r="D9" s="48">
        <v>0.62828455458235422</v>
      </c>
    </row>
    <row r="10" spans="2:4" x14ac:dyDescent="0.3">
      <c r="B10" s="48">
        <v>0.93389690847499007</v>
      </c>
      <c r="C10" s="48">
        <v>0.86529129917294845</v>
      </c>
      <c r="D10" s="48">
        <v>0.33448286385692921</v>
      </c>
    </row>
    <row r="11" spans="2:4" x14ac:dyDescent="0.3">
      <c r="B11" s="48">
        <v>0.21234778893398845</v>
      </c>
      <c r="C11" s="48">
        <v>0.99514755699331647</v>
      </c>
      <c r="D11" s="48">
        <v>7.8768272957548749E-2</v>
      </c>
    </row>
    <row r="12" spans="2:4" x14ac:dyDescent="0.3">
      <c r="B12" s="48">
        <v>0.98840296639912106</v>
      </c>
      <c r="C12" s="48">
        <v>0.90838343455305648</v>
      </c>
      <c r="D12" s="48">
        <v>0.31098361156041138</v>
      </c>
    </row>
    <row r="13" spans="2:4" x14ac:dyDescent="0.3">
      <c r="B13" s="48">
        <v>0.78875087740714744</v>
      </c>
      <c r="C13" s="48">
        <v>0.27872554704428237</v>
      </c>
      <c r="D13" s="48">
        <v>0.59898678548539686</v>
      </c>
    </row>
    <row r="14" spans="2:4" x14ac:dyDescent="0.3">
      <c r="B14" s="48">
        <v>8.7405011139255959E-2</v>
      </c>
      <c r="C14" s="48">
        <v>0.315073091830195</v>
      </c>
      <c r="D14" s="48">
        <v>0.93176061281167033</v>
      </c>
    </row>
    <row r="15" spans="2:4" x14ac:dyDescent="0.3">
      <c r="B15" s="48">
        <v>0.54741050447096162</v>
      </c>
      <c r="C15" s="48">
        <v>0.70906704916531882</v>
      </c>
      <c r="D15" s="48">
        <v>0.48088015381328775</v>
      </c>
    </row>
    <row r="16" spans="2:4" x14ac:dyDescent="0.3">
      <c r="B16" s="48">
        <v>4.693746757408368E-2</v>
      </c>
      <c r="C16" s="48">
        <v>0.24863429670094914</v>
      </c>
      <c r="D16" s="48">
        <v>0.81066316721091347</v>
      </c>
    </row>
    <row r="17" spans="2:4" x14ac:dyDescent="0.3">
      <c r="B17" s="48">
        <v>0.52327036347544786</v>
      </c>
      <c r="C17" s="48">
        <v>0.98980681783501689</v>
      </c>
      <c r="D17" s="48">
        <v>0.87630848109378334</v>
      </c>
    </row>
    <row r="18" spans="2:4" x14ac:dyDescent="0.3">
      <c r="B18" s="48">
        <v>0.56117435224463641</v>
      </c>
      <c r="C18" s="48">
        <v>0.36530655842768639</v>
      </c>
      <c r="D18" s="48">
        <v>0.20038453321939756</v>
      </c>
    </row>
    <row r="19" spans="2:4" x14ac:dyDescent="0.3">
      <c r="B19" s="48">
        <v>0.98156682027649766</v>
      </c>
      <c r="C19" s="48">
        <v>0.19244972075563829</v>
      </c>
      <c r="D19" s="48">
        <v>0.15582750938444168</v>
      </c>
    </row>
    <row r="20" spans="2:4" x14ac:dyDescent="0.3">
      <c r="B20" s="48">
        <v>0.19956053346354563</v>
      </c>
      <c r="C20" s="48">
        <v>0.60011597033600883</v>
      </c>
      <c r="D20" s="48">
        <v>0.30286568803979613</v>
      </c>
    </row>
    <row r="21" spans="2:4" x14ac:dyDescent="0.3">
      <c r="B21" s="48">
        <v>0.48292489394817956</v>
      </c>
      <c r="C21" s="48">
        <v>0.57332071901608328</v>
      </c>
      <c r="D21" s="48">
        <v>0.42374950407422102</v>
      </c>
    </row>
    <row r="22" spans="2:4" x14ac:dyDescent="0.3">
      <c r="B22" s="48">
        <v>0.96801660206915496</v>
      </c>
      <c r="C22" s="48">
        <v>0.16736350596636859</v>
      </c>
      <c r="D22" s="48">
        <v>0.21701712088381603</v>
      </c>
    </row>
    <row r="23" spans="2:4" x14ac:dyDescent="0.3">
      <c r="B23" s="48">
        <v>0.19254127628406628</v>
      </c>
      <c r="C23" s="48">
        <v>0.18872646259956663</v>
      </c>
      <c r="D23" s="48">
        <v>4.2695394756920073E-2</v>
      </c>
    </row>
    <row r="24" spans="2:4" x14ac:dyDescent="0.3">
      <c r="B24" s="48">
        <v>0.6207770012512589</v>
      </c>
      <c r="C24" s="48">
        <v>0.96407971434675133</v>
      </c>
      <c r="D24" s="48">
        <v>0.70903653065584282</v>
      </c>
    </row>
    <row r="25" spans="2:4" x14ac:dyDescent="0.3">
      <c r="B25" s="48">
        <v>0.62770470290231029</v>
      </c>
      <c r="C25" s="48">
        <v>0.47694326609088411</v>
      </c>
      <c r="D25" s="48">
        <v>0.41563158055360577</v>
      </c>
    </row>
    <row r="26" spans="2:4" x14ac:dyDescent="0.3">
      <c r="B26" s="48">
        <v>0.73366496780297252</v>
      </c>
      <c r="C26" s="48">
        <v>9.7567674794763026E-2</v>
      </c>
      <c r="D26" s="48">
        <v>0.39118625446333199</v>
      </c>
    </row>
    <row r="27" spans="2:4" x14ac:dyDescent="0.3">
      <c r="B27" s="48">
        <v>0.83623767815179906</v>
      </c>
      <c r="C27" s="48">
        <v>0.57777642139957885</v>
      </c>
      <c r="D27" s="48">
        <v>0.46043275246436965</v>
      </c>
    </row>
    <row r="28" spans="2:4" x14ac:dyDescent="0.3">
      <c r="B28" s="48">
        <v>0.97827082125308995</v>
      </c>
      <c r="C28" s="48">
        <v>0.96401867732779933</v>
      </c>
      <c r="D28" s="48">
        <v>0.77938169499801635</v>
      </c>
    </row>
    <row r="29" spans="2:4" x14ac:dyDescent="0.3">
      <c r="B29" s="48">
        <v>0.34504226813562427</v>
      </c>
      <c r="C29" s="48">
        <v>0.1239356669820246</v>
      </c>
      <c r="D29" s="48">
        <v>0.32575457014679404</v>
      </c>
    </row>
    <row r="30" spans="2:4" x14ac:dyDescent="0.3">
      <c r="B30" s="48">
        <v>0.7058015686513871</v>
      </c>
      <c r="C30" s="48">
        <v>0.30600909451582387</v>
      </c>
      <c r="D30" s="48">
        <v>0.69408246101260418</v>
      </c>
    </row>
    <row r="31" spans="2:4" x14ac:dyDescent="0.3">
      <c r="B31" s="48">
        <v>0.23462630085146641</v>
      </c>
      <c r="C31" s="48">
        <v>0.18573564867091891</v>
      </c>
      <c r="D31" s="48">
        <v>5.3041169469283118E-2</v>
      </c>
    </row>
    <row r="32" spans="2:4" x14ac:dyDescent="0.3">
      <c r="B32" s="48">
        <v>0.47221289712210457</v>
      </c>
      <c r="C32" s="48">
        <v>0.1021759697256386</v>
      </c>
      <c r="D32" s="48">
        <v>0.19788201544236581</v>
      </c>
    </row>
    <row r="33" spans="2:4" x14ac:dyDescent="0.3">
      <c r="B33" s="48">
        <v>0.51008636738181712</v>
      </c>
      <c r="C33" s="48">
        <v>0.60698263496810811</v>
      </c>
      <c r="D33" s="48">
        <v>0.22128971221045565</v>
      </c>
    </row>
    <row r="34" spans="2:4" x14ac:dyDescent="0.3">
      <c r="B34" s="48">
        <v>0.14731284524063845</v>
      </c>
      <c r="C34" s="48">
        <v>0.11081270790734581</v>
      </c>
      <c r="D34" s="48">
        <v>0.35050508133182773</v>
      </c>
    </row>
    <row r="35" spans="2:4" x14ac:dyDescent="0.3">
      <c r="B35" s="48">
        <v>0.67589342936490981</v>
      </c>
      <c r="C35" s="48">
        <v>0.76113162633136999</v>
      </c>
      <c r="D35" s="48">
        <v>0.2367931150242622</v>
      </c>
    </row>
    <row r="36" spans="2:4" x14ac:dyDescent="0.3">
      <c r="B36" s="48">
        <v>0.36906033509323405</v>
      </c>
      <c r="C36" s="48">
        <v>0.5340739158299509</v>
      </c>
      <c r="D36" s="48">
        <v>0.13452558977019563</v>
      </c>
    </row>
    <row r="37" spans="2:4" x14ac:dyDescent="0.3">
      <c r="B37" s="48">
        <v>0.20447401348918118</v>
      </c>
      <c r="C37" s="48">
        <v>0.40730002746665855</v>
      </c>
      <c r="D37" s="48">
        <v>0.98034607989745781</v>
      </c>
    </row>
    <row r="38" spans="2:4" x14ac:dyDescent="0.3">
      <c r="B38" s="48">
        <v>0.95855586413159577</v>
      </c>
      <c r="C38" s="48">
        <v>0.70708334604937895</v>
      </c>
      <c r="D38" s="48">
        <v>0.58717612231818594</v>
      </c>
    </row>
    <row r="39" spans="2:4" x14ac:dyDescent="0.3">
      <c r="B39" s="48">
        <v>0.54393139439069793</v>
      </c>
      <c r="C39" s="48">
        <v>0.46034119693594167</v>
      </c>
      <c r="D39" s="48">
        <v>0.11801507614368115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</vt:lpstr>
      <vt:lpstr>2.1 CMA</vt:lpstr>
      <vt:lpstr>2.2 Removing Trend</vt:lpstr>
      <vt:lpstr>2.3 Identify Seasonality</vt:lpstr>
      <vt:lpstr>2.4 Estimated Seasonal Pattern</vt:lpstr>
      <vt:lpstr>2.5 Noise</vt:lpstr>
      <vt:lpstr>3.1 Seasonal Naive</vt:lpstr>
      <vt:lpstr>3.2 Seasonal Average</vt:lpstr>
      <vt:lpstr>3.3 Seasonal Exponential</vt:lpstr>
      <vt:lpstr>4.1 Inventory Simulation</vt:lpstr>
      <vt:lpstr>4.2 Random Numbers</vt:lpstr>
      <vt:lpstr>5.1 Linear Programming</vt:lpstr>
      <vt:lpstr>5.2 Answer Report </vt:lpstr>
      <vt:lpstr>6.1 Poission Distribution</vt:lpstr>
      <vt:lpstr>6.2 Simulation Solution</vt:lpstr>
      <vt:lpstr>6.3 Random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Barrow (Management)</dc:creator>
  <cp:lastModifiedBy>Neha Siddiqui</cp:lastModifiedBy>
  <dcterms:created xsi:type="dcterms:W3CDTF">2023-12-15T13:05:33Z</dcterms:created>
  <dcterms:modified xsi:type="dcterms:W3CDTF">2025-05-08T09:43:35Z</dcterms:modified>
</cp:coreProperties>
</file>